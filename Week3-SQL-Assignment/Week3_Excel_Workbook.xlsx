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6_Formatted" sheetId="1" state="visible" r:id="rId1"/>
    <sheet xmlns:r="http://schemas.openxmlformats.org/officeDocument/2006/relationships" name="Task6_Filtered" sheetId="2" state="visible" r:id="rId2"/>
    <sheet xmlns:r="http://schemas.openxmlformats.org/officeDocument/2006/relationships" name="Task7_CondFmt_Functions" sheetId="3" state="visible" r:id="rId3"/>
    <sheet xmlns:r="http://schemas.openxmlformats.org/officeDocument/2006/relationships" name="Task8_Lookups" sheetId="4" state="visible" r:id="rId4"/>
    <sheet xmlns:r="http://schemas.openxmlformats.org/officeDocument/2006/relationships" name="Task9_SalesData" sheetId="5" state="visible" r:id="rId5"/>
    <sheet xmlns:r="http://schemas.openxmlformats.org/officeDocument/2006/relationships" name="Task9_Pivot_Chart" sheetId="6" state="visible" r:id="rId6"/>
  </sheets>
  <definedNames>
    <definedName name="_xlnm._FilterDatabase" localSheetId="0" hidden="1">'Task6_Formatted'!$A$4:$H$24</definedName>
    <definedName name="_xlnm._FilterDatabase" localSheetId="1" hidden="1">'Task6_Filtered'!$A$4:$H$24</definedName>
    <definedName name="_xlnm._FilterDatabase" localSheetId="4" hidden="1">'Task9_SalesData'!$A$3:$H$63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&quot;₹&quot;#,##0"/>
    <numFmt numFmtId="166" formatCode="DD-MMM-YYYY"/>
    <numFmt numFmtId="167" formatCode="&quot;₹&quot;#,##0;;&quot;-&quot;"/>
    <numFmt numFmtId="168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1F8"/>
      </patternFill>
    </fill>
    <fill>
      <patternFill patternType="solid">
        <fgColor rgb="00FFFF0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5" fontId="4" fillId="0" borderId="1" applyAlignment="1" pivotButton="0" quotePrefix="0" xfId="0">
      <alignment horizontal="right"/>
    </xf>
    <xf numFmtId="166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165" fontId="4" fillId="3" borderId="1" applyAlignment="1" pivotButton="0" quotePrefix="0" xfId="0">
      <alignment horizontal="right"/>
    </xf>
    <xf numFmtId="166" fontId="4" fillId="3" borderId="1" applyAlignment="1" pivotButton="0" quotePrefix="0" xfId="0">
      <alignment horizontal="center"/>
    </xf>
    <xf numFmtId="165" fontId="4" fillId="0" borderId="1" pivotButton="0" quotePrefix="0" xfId="0"/>
    <xf numFmtId="0" fontId="5" fillId="0" borderId="0" pivotButton="0" quotePrefix="0" xfId="0"/>
    <xf numFmtId="167" fontId="4" fillId="0" borderId="1" pivotButton="0" quotePrefix="0" xfId="0"/>
    <xf numFmtId="0" fontId="4" fillId="0" borderId="0" pivotButton="0" quotePrefix="0" xfId="0"/>
    <xf numFmtId="9" fontId="6" fillId="4" borderId="0" pivotButton="0" quotePrefix="0" xfId="0"/>
    <xf numFmtId="0" fontId="5" fillId="0" borderId="1" pivotButton="0" quotePrefix="0" xfId="0"/>
    <xf numFmtId="165" fontId="5" fillId="0" borderId="1" pivotButton="0" quotePrefix="0" xfId="0"/>
    <xf numFmtId="1" fontId="4" fillId="0" borderId="1" pivotButton="0" quotePrefix="0" xfId="0"/>
    <xf numFmtId="0" fontId="6" fillId="4" borderId="0" pivotButton="0" quotePrefix="0" xfId="0"/>
    <xf numFmtId="0" fontId="4" fillId="0" borderId="1" applyAlignment="1" pivotButton="0" quotePrefix="0" xfId="0">
      <alignment vertical="top" wrapText="1"/>
    </xf>
    <xf numFmtId="166" fontId="4" fillId="0" borderId="1" pivotButton="0" quotePrefix="0" xfId="0"/>
    <xf numFmtId="0" fontId="5" fillId="5" borderId="1" pivotButton="0" quotePrefix="0" xfId="0"/>
    <xf numFmtId="165" fontId="5" fillId="5" borderId="1" pivotButton="0" quotePrefix="0" xfId="0"/>
    <xf numFmtId="168" fontId="4" fillId="0" borderId="1" pivotButton="0" quotePrefix="0" xfId="0"/>
  </cellXfs>
  <cellStyles count="1">
    <cellStyle name="Normal" xfId="0" builtinId="0" hidden="0"/>
  </cellStyles>
  <dxfs count="5">
    <dxf>
      <font>
        <name val="Arial"/>
        <b val="1"/>
        <color rgb="00006100"/>
      </font>
      <fill>
        <patternFill patternType="solid">
          <fgColor rgb="00C6EFCE"/>
          <bgColor rgb="00C6EFCE"/>
        </patternFill>
      </fill>
    </dxf>
    <dxf>
      <font>
        <name val="Arial"/>
        <color rgb="009C0006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 and Category (INR)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'Task9_Pivot_Chart'!B4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'Task9_Pivot_Chart'!$A$5:$A$8</f>
            </numRef>
          </cat>
          <val>
            <numRef>
              <f>'Task9_Pivot_Chart'!$B$5:$B$8</f>
            </numRef>
          </val>
        </ser>
        <ser>
          <idx val="1"/>
          <order val="1"/>
          <tx>
            <strRef>
              <f>'Task9_Pivot_Chart'!C4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'Task9_Pivot_Chart'!$A$5:$A$8</f>
            </numRef>
          </cat>
          <val>
            <numRef>
              <f>'Task9_Pivot_Chart'!$C$5:$C$8</f>
            </numRef>
          </val>
        </ser>
        <ser>
          <idx val="2"/>
          <order val="2"/>
          <tx>
            <strRef>
              <f>'Task9_Pivot_Chart'!D4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'Task9_Pivot_Chart'!$A$5:$A$8</f>
            </numRef>
          </cat>
          <val>
            <numRef>
              <f>'Task9_Pivot_Chart'!$D$5:$D$8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(INR)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Share of Total Revenue by Category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'Task9_Pivot_Chart'!$B$4:$D$4</f>
            </numRef>
          </cat>
          <val>
            <numRef>
              <f>'Task9_Pivot_Chart'!$B$9:$D$9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468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2" customWidth="1" min="4" max="4"/>
    <col width="15" customWidth="1" min="5" max="5"/>
    <col width="14" customWidth="1" min="6" max="6"/>
    <col width="12" customWidth="1" min="7" max="7"/>
    <col width="20" customWidth="1" min="8" max="8"/>
  </cols>
  <sheetData>
    <row r="1">
      <c r="A1" s="1" t="inlineStr">
        <is>
          <t>Task 6 - Employee Dataset: Formatted, Sorted (Dept A-Z, Salary high-to-low)</t>
        </is>
      </c>
    </row>
    <row r="2">
      <c r="A2" s="2" t="inlineStr">
        <is>
          <t>Data sorted by Department (A-Z) then Salary (descending). AutoFilter buttons are on the header row.</t>
        </is>
      </c>
    </row>
    <row r="4" ht="24" customHeight="1">
      <c r="A4" s="3" t="inlineStr">
        <is>
          <t>Emp ID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City</t>
        </is>
      </c>
      <c r="E4" s="3" t="inlineStr">
        <is>
          <t>Salary (INR)</t>
        </is>
      </c>
      <c r="F4" s="3" t="inlineStr">
        <is>
          <t>Join Date</t>
        </is>
      </c>
      <c r="G4" s="3" t="inlineStr">
        <is>
          <t>Rating (1-5)</t>
        </is>
      </c>
      <c r="H4" s="3" t="inlineStr">
        <is>
          <t>Job Title</t>
        </is>
      </c>
    </row>
    <row r="5">
      <c r="A5" s="4" t="n">
        <v>114</v>
      </c>
      <c r="B5" s="5" t="inlineStr">
        <is>
          <t>Meera Nair</t>
        </is>
      </c>
      <c r="C5" s="5" t="inlineStr">
        <is>
          <t>Finance</t>
        </is>
      </c>
      <c r="D5" s="5" t="inlineStr">
        <is>
          <t>Delhi</t>
        </is>
      </c>
      <c r="E5" s="6" t="n">
        <v>90000</v>
      </c>
      <c r="F5" s="7" t="n">
        <v>42443</v>
      </c>
      <c r="G5" s="4" t="n">
        <v>4</v>
      </c>
      <c r="H5" s="5" t="inlineStr">
        <is>
          <t>Finance Manager</t>
        </is>
      </c>
    </row>
    <row r="6">
      <c r="A6" s="8" t="n">
        <v>109</v>
      </c>
      <c r="B6" s="9" t="inlineStr">
        <is>
          <t>Amit Kumar</t>
        </is>
      </c>
      <c r="C6" s="9" t="inlineStr">
        <is>
          <t>Finance</t>
        </is>
      </c>
      <c r="D6" s="9" t="inlineStr">
        <is>
          <t>Delhi</t>
        </is>
      </c>
      <c r="E6" s="10" t="n">
        <v>55000</v>
      </c>
      <c r="F6" s="11" t="n">
        <v>44778</v>
      </c>
      <c r="G6" s="8" t="n">
        <v>3</v>
      </c>
      <c r="H6" s="9" t="inlineStr">
        <is>
          <t>Financial Analyst</t>
        </is>
      </c>
    </row>
    <row r="7">
      <c r="A7" s="4" t="n">
        <v>105</v>
      </c>
      <c r="B7" s="5" t="inlineStr">
        <is>
          <t>Vikram Yadav</t>
        </is>
      </c>
      <c r="C7" s="5" t="inlineStr">
        <is>
          <t>Finance</t>
        </is>
      </c>
      <c r="D7" s="5" t="inlineStr">
        <is>
          <t>Delhi</t>
        </is>
      </c>
      <c r="E7" s="6" t="n">
        <v>48000</v>
      </c>
      <c r="F7" s="7" t="n">
        <v>44451</v>
      </c>
      <c r="G7" s="4" t="n">
        <v>3</v>
      </c>
      <c r="H7" s="5" t="inlineStr">
        <is>
          <t>Accountant</t>
        </is>
      </c>
    </row>
    <row r="8">
      <c r="A8" s="8" t="n">
        <v>104</v>
      </c>
      <c r="B8" s="9" t="inlineStr">
        <is>
          <t>Sneha Singh</t>
        </is>
      </c>
      <c r="C8" s="9" t="inlineStr">
        <is>
          <t>HR</t>
        </is>
      </c>
      <c r="D8" s="9" t="inlineStr">
        <is>
          <t>Kanpur</t>
        </is>
      </c>
      <c r="E8" s="10" t="n">
        <v>72000</v>
      </c>
      <c r="F8" s="11" t="n">
        <v>43605</v>
      </c>
      <c r="G8" s="8" t="n">
        <v>4</v>
      </c>
      <c r="H8" s="9" t="inlineStr">
        <is>
          <t>HR Manager</t>
        </is>
      </c>
    </row>
    <row r="9">
      <c r="A9" s="4" t="n">
        <v>118</v>
      </c>
      <c r="B9" s="5" t="inlineStr">
        <is>
          <t>Ritu Agarwal</t>
        </is>
      </c>
      <c r="C9" s="5" t="inlineStr">
        <is>
          <t>HR</t>
        </is>
      </c>
      <c r="D9" s="5" t="inlineStr">
        <is>
          <t>Kanpur</t>
        </is>
      </c>
      <c r="E9" s="6" t="n">
        <v>41000</v>
      </c>
      <c r="F9" s="7" t="n">
        <v>44893</v>
      </c>
      <c r="G9" s="4" t="n">
        <v>4</v>
      </c>
      <c r="H9" s="5" t="inlineStr">
        <is>
          <t>Recruiter</t>
        </is>
      </c>
    </row>
    <row r="10">
      <c r="A10" s="8" t="n">
        <v>110</v>
      </c>
      <c r="B10" s="9" t="inlineStr">
        <is>
          <t>Pooja Chauhan</t>
        </is>
      </c>
      <c r="C10" s="9" t="inlineStr">
        <is>
          <t>HR</t>
        </is>
      </c>
      <c r="D10" s="9" t="inlineStr">
        <is>
          <t>Kanpur</t>
        </is>
      </c>
      <c r="E10" s="10" t="n">
        <v>38000</v>
      </c>
      <c r="F10" s="11" t="n">
        <v>44942</v>
      </c>
      <c r="G10" s="8" t="n">
        <v>2</v>
      </c>
      <c r="H10" s="9" t="inlineStr">
        <is>
          <t>HR Executive</t>
        </is>
      </c>
    </row>
    <row r="11">
      <c r="A11" s="4" t="n">
        <v>111</v>
      </c>
      <c r="B11" s="5" t="inlineStr">
        <is>
          <t>Rahul Saxena</t>
        </is>
      </c>
      <c r="C11" s="5" t="inlineStr">
        <is>
          <t>IT</t>
        </is>
      </c>
      <c r="D11" s="5" t="inlineStr">
        <is>
          <t>Noida</t>
        </is>
      </c>
      <c r="E11" s="6" t="n">
        <v>85000</v>
      </c>
      <c r="F11" s="7" t="n">
        <v>43747</v>
      </c>
      <c r="G11" s="4" t="n">
        <v>5</v>
      </c>
      <c r="H11" s="5" t="inlineStr">
        <is>
          <t>Data Scientist</t>
        </is>
      </c>
    </row>
    <row r="12">
      <c r="A12" s="8" t="n">
        <v>107</v>
      </c>
      <c r="B12" s="9" t="inlineStr">
        <is>
          <t>Karan Tiwari</t>
        </is>
      </c>
      <c r="C12" s="9" t="inlineStr">
        <is>
          <t>IT</t>
        </is>
      </c>
      <c r="D12" s="9" t="inlineStr">
        <is>
          <t>Noida</t>
        </is>
      </c>
      <c r="E12" s="10" t="n">
        <v>70000</v>
      </c>
      <c r="F12" s="11" t="n">
        <v>43156</v>
      </c>
      <c r="G12" s="8" t="n">
        <v>5</v>
      </c>
      <c r="H12" s="9" t="inlineStr">
        <is>
          <t>DevOps Engineer</t>
        </is>
      </c>
    </row>
    <row r="13">
      <c r="A13" s="4" t="n">
        <v>101</v>
      </c>
      <c r="B13" s="5" t="inlineStr">
        <is>
          <t>Aarav Sharma</t>
        </is>
      </c>
      <c r="C13" s="5" t="inlineStr">
        <is>
          <t>IT</t>
        </is>
      </c>
      <c r="D13" s="5" t="inlineStr">
        <is>
          <t>Noida</t>
        </is>
      </c>
      <c r="E13" s="6" t="n">
        <v>65000</v>
      </c>
      <c r="F13" s="7" t="n">
        <v>44270</v>
      </c>
      <c r="G13" s="4" t="n">
        <v>4</v>
      </c>
      <c r="H13" s="5" t="inlineStr">
        <is>
          <t>Software Engineer</t>
        </is>
      </c>
    </row>
    <row r="14">
      <c r="A14" s="8" t="n">
        <v>115</v>
      </c>
      <c r="B14" s="9" t="inlineStr">
        <is>
          <t>Arjun Mehta</t>
        </is>
      </c>
      <c r="C14" s="9" t="inlineStr">
        <is>
          <t>IT</t>
        </is>
      </c>
      <c r="D14" s="9" t="inlineStr">
        <is>
          <t>Noida</t>
        </is>
      </c>
      <c r="E14" s="10" t="n">
        <v>62000</v>
      </c>
      <c r="F14" s="11" t="n">
        <v>44733</v>
      </c>
      <c r="G14" s="8" t="n">
        <v>4</v>
      </c>
      <c r="H14" s="9" t="inlineStr">
        <is>
          <t>Software Engineer</t>
        </is>
      </c>
    </row>
    <row r="15">
      <c r="A15" s="4" t="n">
        <v>103</v>
      </c>
      <c r="B15" s="5" t="inlineStr">
        <is>
          <t>Rohan Gupta</t>
        </is>
      </c>
      <c r="C15" s="5" t="inlineStr">
        <is>
          <t>IT</t>
        </is>
      </c>
      <c r="D15" s="5" t="inlineStr">
        <is>
          <t>Noida</t>
        </is>
      </c>
      <c r="E15" s="6" t="n">
        <v>58000</v>
      </c>
      <c r="F15" s="7" t="n">
        <v>44571</v>
      </c>
      <c r="G15" s="4" t="n">
        <v>5</v>
      </c>
      <c r="H15" s="5" t="inlineStr">
        <is>
          <t>Data Analyst</t>
        </is>
      </c>
    </row>
    <row r="16">
      <c r="A16" s="8" t="n">
        <v>119</v>
      </c>
      <c r="B16" s="9" t="inlineStr">
        <is>
          <t>Manish Bajpai</t>
        </is>
      </c>
      <c r="C16" s="9" t="inlineStr">
        <is>
          <t>IT</t>
        </is>
      </c>
      <c r="D16" s="9" t="inlineStr">
        <is>
          <t>Noida</t>
        </is>
      </c>
      <c r="E16" s="10" t="n">
        <v>52000</v>
      </c>
      <c r="F16" s="11" t="n">
        <v>44396</v>
      </c>
      <c r="G16" s="8" t="n">
        <v>3</v>
      </c>
      <c r="H16" s="9" t="inlineStr">
        <is>
          <t>QA Engineer</t>
        </is>
      </c>
    </row>
    <row r="17">
      <c r="A17" s="4" t="n">
        <v>106</v>
      </c>
      <c r="B17" s="5" t="inlineStr">
        <is>
          <t>Anjali Mishra</t>
        </is>
      </c>
      <c r="C17" s="5" t="inlineStr">
        <is>
          <t>Marketing</t>
        </is>
      </c>
      <c r="D17" s="5" t="inlineStr">
        <is>
          <t>Agra</t>
        </is>
      </c>
      <c r="E17" s="6" t="n">
        <v>61000</v>
      </c>
      <c r="F17" s="7" t="n">
        <v>44165</v>
      </c>
      <c r="G17" s="4" t="n">
        <v>4</v>
      </c>
      <c r="H17" s="5" t="inlineStr">
        <is>
          <t>Marketing Lead</t>
        </is>
      </c>
    </row>
    <row r="18">
      <c r="A18" s="8" t="n">
        <v>116</v>
      </c>
      <c r="B18" s="9" t="inlineStr">
        <is>
          <t>Kavya Rao</t>
        </is>
      </c>
      <c r="C18" s="9" t="inlineStr">
        <is>
          <t>Marketing</t>
        </is>
      </c>
      <c r="D18" s="9" t="inlineStr">
        <is>
          <t>Agra</t>
        </is>
      </c>
      <c r="E18" s="10" t="n">
        <v>45000</v>
      </c>
      <c r="F18" s="11" t="n">
        <v>44327</v>
      </c>
      <c r="G18" s="8" t="n">
        <v>3</v>
      </c>
      <c r="H18" s="9" t="inlineStr">
        <is>
          <t>SEO Specialist</t>
        </is>
      </c>
    </row>
    <row r="19">
      <c r="A19" s="4" t="n">
        <v>112</v>
      </c>
      <c r="B19" s="5" t="inlineStr">
        <is>
          <t>Simran Kaur</t>
        </is>
      </c>
      <c r="C19" s="5" t="inlineStr">
        <is>
          <t>Marketing</t>
        </is>
      </c>
      <c r="D19" s="5" t="inlineStr">
        <is>
          <t>Agra</t>
        </is>
      </c>
      <c r="E19" s="6" t="n">
        <v>35000</v>
      </c>
      <c r="F19" s="7" t="n">
        <v>45019</v>
      </c>
      <c r="G19" s="4" t="n">
        <v>2</v>
      </c>
      <c r="H19" s="5" t="inlineStr">
        <is>
          <t>Content Writer</t>
        </is>
      </c>
    </row>
    <row r="20">
      <c r="A20" s="8" t="n">
        <v>108</v>
      </c>
      <c r="B20" s="9" t="inlineStr">
        <is>
          <t>Neha Pandey</t>
        </is>
      </c>
      <c r="C20" s="9" t="inlineStr">
        <is>
          <t>Sales</t>
        </is>
      </c>
      <c r="D20" s="9" t="inlineStr">
        <is>
          <t>Lucknow</t>
        </is>
      </c>
      <c r="E20" s="10" t="n">
        <v>80000</v>
      </c>
      <c r="F20" s="11" t="n">
        <v>42904</v>
      </c>
      <c r="G20" s="8" t="n">
        <v>5</v>
      </c>
      <c r="H20" s="9" t="inlineStr">
        <is>
          <t>Sales Manager</t>
        </is>
      </c>
    </row>
    <row r="21">
      <c r="A21" s="4" t="n">
        <v>117</v>
      </c>
      <c r="B21" s="5" t="inlineStr">
        <is>
          <t>Sanjay Dubey</t>
        </is>
      </c>
      <c r="C21" s="5" t="inlineStr">
        <is>
          <t>Sales</t>
        </is>
      </c>
      <c r="D21" s="5" t="inlineStr">
        <is>
          <t>Lucknow</t>
        </is>
      </c>
      <c r="E21" s="6" t="n">
        <v>43000</v>
      </c>
      <c r="F21" s="7" t="n">
        <v>43878</v>
      </c>
      <c r="G21" s="4" t="n">
        <v>2</v>
      </c>
      <c r="H21" s="5" t="inlineStr">
        <is>
          <t>Sales Executive</t>
        </is>
      </c>
    </row>
    <row r="22">
      <c r="A22" s="8" t="n">
        <v>102</v>
      </c>
      <c r="B22" s="9" t="inlineStr">
        <is>
          <t>Priya Verma</t>
        </is>
      </c>
      <c r="C22" s="9" t="inlineStr">
        <is>
          <t>Sales</t>
        </is>
      </c>
      <c r="D22" s="9" t="inlineStr">
        <is>
          <t>Lucknow</t>
        </is>
      </c>
      <c r="E22" s="10" t="n">
        <v>42000</v>
      </c>
      <c r="F22" s="11" t="n">
        <v>44013</v>
      </c>
      <c r="G22" s="8" t="n">
        <v>3</v>
      </c>
      <c r="H22" s="9" t="inlineStr">
        <is>
          <t>Sales Executive</t>
        </is>
      </c>
    </row>
    <row r="23">
      <c r="A23" s="4" t="n">
        <v>113</v>
      </c>
      <c r="B23" s="5" t="inlineStr">
        <is>
          <t>Deepak Joshi</t>
        </is>
      </c>
      <c r="C23" s="5" t="inlineStr">
        <is>
          <t>Sales</t>
        </is>
      </c>
      <c r="D23" s="5" t="inlineStr">
        <is>
          <t>Lucknow</t>
        </is>
      </c>
      <c r="E23" s="6" t="n">
        <v>40000</v>
      </c>
      <c r="F23" s="7" t="n">
        <v>44531</v>
      </c>
      <c r="G23" s="4" t="n">
        <v>3</v>
      </c>
      <c r="H23" s="5" t="inlineStr">
        <is>
          <t>Sales Executive</t>
        </is>
      </c>
    </row>
    <row r="24">
      <c r="A24" s="8" t="n">
        <v>120</v>
      </c>
      <c r="B24" s="9" t="inlineStr">
        <is>
          <t>Tanya Kapoor</t>
        </is>
      </c>
      <c r="C24" s="9" t="inlineStr">
        <is>
          <t>Unassigned</t>
        </is>
      </c>
      <c r="D24" s="9" t="inlineStr">
        <is>
          <t>Delhi</t>
        </is>
      </c>
      <c r="E24" s="10" t="n">
        <v>15000</v>
      </c>
      <c r="F24" s="11" t="n">
        <v>45299</v>
      </c>
      <c r="G24" s="8" t="n">
        <v>2</v>
      </c>
      <c r="H24" s="9" t="inlineStr">
        <is>
          <t>Intern</t>
        </is>
      </c>
    </row>
  </sheetData>
  <autoFilter ref="A4:H24"/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2" customWidth="1" min="4" max="4"/>
    <col width="15" customWidth="1" min="5" max="5"/>
    <col width="14" customWidth="1" min="6" max="6"/>
    <col width="12" customWidth="1" min="7" max="7"/>
    <col width="20" customWidth="1" min="8" max="8"/>
  </cols>
  <sheetData>
    <row r="1">
      <c r="A1" s="1" t="inlineStr">
        <is>
          <t>Task 6 - Filtered View: Department = IT  AND  Salary &gt; 55,000</t>
        </is>
      </c>
    </row>
    <row r="2">
      <c r="A2" s="2" t="inlineStr">
        <is>
          <t>Filter applied through the AutoFilter drop-downs (Department = IT, Salary &gt; 55000). Non-matching rows are hidden.</t>
        </is>
      </c>
    </row>
    <row r="4" ht="24" customHeight="1">
      <c r="A4" s="3" t="inlineStr">
        <is>
          <t>Emp ID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City</t>
        </is>
      </c>
      <c r="E4" s="3" t="inlineStr">
        <is>
          <t>Salary (INR)</t>
        </is>
      </c>
      <c r="F4" s="3" t="inlineStr">
        <is>
          <t>Join Date</t>
        </is>
      </c>
      <c r="G4" s="3" t="inlineStr">
        <is>
          <t>Rating (1-5)</t>
        </is>
      </c>
      <c r="H4" s="3" t="inlineStr">
        <is>
          <t>Job Title</t>
        </is>
      </c>
    </row>
    <row r="5" hidden="1">
      <c r="A5" s="4" t="n">
        <v>114</v>
      </c>
      <c r="B5" s="5" t="inlineStr">
        <is>
          <t>Meera Nair</t>
        </is>
      </c>
      <c r="C5" s="5" t="inlineStr">
        <is>
          <t>Finance</t>
        </is>
      </c>
      <c r="D5" s="5" t="inlineStr">
        <is>
          <t>Delhi</t>
        </is>
      </c>
      <c r="E5" s="12" t="n">
        <v>90000</v>
      </c>
      <c r="F5" s="7" t="n">
        <v>42443</v>
      </c>
      <c r="G5" s="4" t="n">
        <v>4</v>
      </c>
      <c r="H5" s="5" t="inlineStr">
        <is>
          <t>Finance Manager</t>
        </is>
      </c>
    </row>
    <row r="6" hidden="1">
      <c r="A6" s="4" t="n">
        <v>109</v>
      </c>
      <c r="B6" s="5" t="inlineStr">
        <is>
          <t>Amit Kumar</t>
        </is>
      </c>
      <c r="C6" s="5" t="inlineStr">
        <is>
          <t>Finance</t>
        </is>
      </c>
      <c r="D6" s="5" t="inlineStr">
        <is>
          <t>Delhi</t>
        </is>
      </c>
      <c r="E6" s="12" t="n">
        <v>55000</v>
      </c>
      <c r="F6" s="7" t="n">
        <v>44778</v>
      </c>
      <c r="G6" s="4" t="n">
        <v>3</v>
      </c>
      <c r="H6" s="5" t="inlineStr">
        <is>
          <t>Financial Analyst</t>
        </is>
      </c>
    </row>
    <row r="7" hidden="1">
      <c r="A7" s="4" t="n">
        <v>105</v>
      </c>
      <c r="B7" s="5" t="inlineStr">
        <is>
          <t>Vikram Yadav</t>
        </is>
      </c>
      <c r="C7" s="5" t="inlineStr">
        <is>
          <t>Finance</t>
        </is>
      </c>
      <c r="D7" s="5" t="inlineStr">
        <is>
          <t>Delhi</t>
        </is>
      </c>
      <c r="E7" s="12" t="n">
        <v>48000</v>
      </c>
      <c r="F7" s="7" t="n">
        <v>44451</v>
      </c>
      <c r="G7" s="4" t="n">
        <v>3</v>
      </c>
      <c r="H7" s="5" t="inlineStr">
        <is>
          <t>Accountant</t>
        </is>
      </c>
    </row>
    <row r="8" hidden="1">
      <c r="A8" s="4" t="n">
        <v>104</v>
      </c>
      <c r="B8" s="5" t="inlineStr">
        <is>
          <t>Sneha Singh</t>
        </is>
      </c>
      <c r="C8" s="5" t="inlineStr">
        <is>
          <t>HR</t>
        </is>
      </c>
      <c r="D8" s="5" t="inlineStr">
        <is>
          <t>Kanpur</t>
        </is>
      </c>
      <c r="E8" s="12" t="n">
        <v>72000</v>
      </c>
      <c r="F8" s="7" t="n">
        <v>43605</v>
      </c>
      <c r="G8" s="4" t="n">
        <v>4</v>
      </c>
      <c r="H8" s="5" t="inlineStr">
        <is>
          <t>HR Manager</t>
        </is>
      </c>
    </row>
    <row r="9" hidden="1">
      <c r="A9" s="4" t="n">
        <v>118</v>
      </c>
      <c r="B9" s="5" t="inlineStr">
        <is>
          <t>Ritu Agarwal</t>
        </is>
      </c>
      <c r="C9" s="5" t="inlineStr">
        <is>
          <t>HR</t>
        </is>
      </c>
      <c r="D9" s="5" t="inlineStr">
        <is>
          <t>Kanpur</t>
        </is>
      </c>
      <c r="E9" s="12" t="n">
        <v>41000</v>
      </c>
      <c r="F9" s="7" t="n">
        <v>44893</v>
      </c>
      <c r="G9" s="4" t="n">
        <v>4</v>
      </c>
      <c r="H9" s="5" t="inlineStr">
        <is>
          <t>Recruiter</t>
        </is>
      </c>
    </row>
    <row r="10" hidden="1">
      <c r="A10" s="4" t="n">
        <v>110</v>
      </c>
      <c r="B10" s="5" t="inlineStr">
        <is>
          <t>Pooja Chauhan</t>
        </is>
      </c>
      <c r="C10" s="5" t="inlineStr">
        <is>
          <t>HR</t>
        </is>
      </c>
      <c r="D10" s="5" t="inlineStr">
        <is>
          <t>Kanpur</t>
        </is>
      </c>
      <c r="E10" s="12" t="n">
        <v>38000</v>
      </c>
      <c r="F10" s="7" t="n">
        <v>44942</v>
      </c>
      <c r="G10" s="4" t="n">
        <v>2</v>
      </c>
      <c r="H10" s="5" t="inlineStr">
        <is>
          <t>HR Executive</t>
        </is>
      </c>
    </row>
    <row r="11">
      <c r="A11" s="4" t="n">
        <v>111</v>
      </c>
      <c r="B11" s="5" t="inlineStr">
        <is>
          <t>Rahul Saxena</t>
        </is>
      </c>
      <c r="C11" s="5" t="inlineStr">
        <is>
          <t>IT</t>
        </is>
      </c>
      <c r="D11" s="5" t="inlineStr">
        <is>
          <t>Noida</t>
        </is>
      </c>
      <c r="E11" s="12" t="n">
        <v>85000</v>
      </c>
      <c r="F11" s="7" t="n">
        <v>43747</v>
      </c>
      <c r="G11" s="4" t="n">
        <v>5</v>
      </c>
      <c r="H11" s="5" t="inlineStr">
        <is>
          <t>Data Scientist</t>
        </is>
      </c>
    </row>
    <row r="12">
      <c r="A12" s="4" t="n">
        <v>107</v>
      </c>
      <c r="B12" s="5" t="inlineStr">
        <is>
          <t>Karan Tiwari</t>
        </is>
      </c>
      <c r="C12" s="5" t="inlineStr">
        <is>
          <t>IT</t>
        </is>
      </c>
      <c r="D12" s="5" t="inlineStr">
        <is>
          <t>Noida</t>
        </is>
      </c>
      <c r="E12" s="12" t="n">
        <v>70000</v>
      </c>
      <c r="F12" s="7" t="n">
        <v>43156</v>
      </c>
      <c r="G12" s="4" t="n">
        <v>5</v>
      </c>
      <c r="H12" s="5" t="inlineStr">
        <is>
          <t>DevOps Engineer</t>
        </is>
      </c>
    </row>
    <row r="13">
      <c r="A13" s="4" t="n">
        <v>101</v>
      </c>
      <c r="B13" s="5" t="inlineStr">
        <is>
          <t>Aarav Sharma</t>
        </is>
      </c>
      <c r="C13" s="5" t="inlineStr">
        <is>
          <t>IT</t>
        </is>
      </c>
      <c r="D13" s="5" t="inlineStr">
        <is>
          <t>Noida</t>
        </is>
      </c>
      <c r="E13" s="12" t="n">
        <v>65000</v>
      </c>
      <c r="F13" s="7" t="n">
        <v>44270</v>
      </c>
      <c r="G13" s="4" t="n">
        <v>4</v>
      </c>
      <c r="H13" s="5" t="inlineStr">
        <is>
          <t>Software Engineer</t>
        </is>
      </c>
    </row>
    <row r="14">
      <c r="A14" s="4" t="n">
        <v>115</v>
      </c>
      <c r="B14" s="5" t="inlineStr">
        <is>
          <t>Arjun Mehta</t>
        </is>
      </c>
      <c r="C14" s="5" t="inlineStr">
        <is>
          <t>IT</t>
        </is>
      </c>
      <c r="D14" s="5" t="inlineStr">
        <is>
          <t>Noida</t>
        </is>
      </c>
      <c r="E14" s="12" t="n">
        <v>62000</v>
      </c>
      <c r="F14" s="7" t="n">
        <v>44733</v>
      </c>
      <c r="G14" s="4" t="n">
        <v>4</v>
      </c>
      <c r="H14" s="5" t="inlineStr">
        <is>
          <t>Software Engineer</t>
        </is>
      </c>
    </row>
    <row r="15">
      <c r="A15" s="4" t="n">
        <v>103</v>
      </c>
      <c r="B15" s="5" t="inlineStr">
        <is>
          <t>Rohan Gupta</t>
        </is>
      </c>
      <c r="C15" s="5" t="inlineStr">
        <is>
          <t>IT</t>
        </is>
      </c>
      <c r="D15" s="5" t="inlineStr">
        <is>
          <t>Noida</t>
        </is>
      </c>
      <c r="E15" s="12" t="n">
        <v>58000</v>
      </c>
      <c r="F15" s="7" t="n">
        <v>44571</v>
      </c>
      <c r="G15" s="4" t="n">
        <v>5</v>
      </c>
      <c r="H15" s="5" t="inlineStr">
        <is>
          <t>Data Analyst</t>
        </is>
      </c>
    </row>
    <row r="16" hidden="1">
      <c r="A16" s="4" t="n">
        <v>119</v>
      </c>
      <c r="B16" s="5" t="inlineStr">
        <is>
          <t>Manish Bajpai</t>
        </is>
      </c>
      <c r="C16" s="5" t="inlineStr">
        <is>
          <t>IT</t>
        </is>
      </c>
      <c r="D16" s="5" t="inlineStr">
        <is>
          <t>Noida</t>
        </is>
      </c>
      <c r="E16" s="12" t="n">
        <v>52000</v>
      </c>
      <c r="F16" s="7" t="n">
        <v>44396</v>
      </c>
      <c r="G16" s="4" t="n">
        <v>3</v>
      </c>
      <c r="H16" s="5" t="inlineStr">
        <is>
          <t>QA Engineer</t>
        </is>
      </c>
    </row>
    <row r="17" hidden="1">
      <c r="A17" s="4" t="n">
        <v>106</v>
      </c>
      <c r="B17" s="5" t="inlineStr">
        <is>
          <t>Anjali Mishra</t>
        </is>
      </c>
      <c r="C17" s="5" t="inlineStr">
        <is>
          <t>Marketing</t>
        </is>
      </c>
      <c r="D17" s="5" t="inlineStr">
        <is>
          <t>Agra</t>
        </is>
      </c>
      <c r="E17" s="12" t="n">
        <v>61000</v>
      </c>
      <c r="F17" s="7" t="n">
        <v>44165</v>
      </c>
      <c r="G17" s="4" t="n">
        <v>4</v>
      </c>
      <c r="H17" s="5" t="inlineStr">
        <is>
          <t>Marketing Lead</t>
        </is>
      </c>
    </row>
    <row r="18" hidden="1">
      <c r="A18" s="4" t="n">
        <v>116</v>
      </c>
      <c r="B18" s="5" t="inlineStr">
        <is>
          <t>Kavya Rao</t>
        </is>
      </c>
      <c r="C18" s="5" t="inlineStr">
        <is>
          <t>Marketing</t>
        </is>
      </c>
      <c r="D18" s="5" t="inlineStr">
        <is>
          <t>Agra</t>
        </is>
      </c>
      <c r="E18" s="12" t="n">
        <v>45000</v>
      </c>
      <c r="F18" s="7" t="n">
        <v>44327</v>
      </c>
      <c r="G18" s="4" t="n">
        <v>3</v>
      </c>
      <c r="H18" s="5" t="inlineStr">
        <is>
          <t>SEO Specialist</t>
        </is>
      </c>
    </row>
    <row r="19" hidden="1">
      <c r="A19" s="4" t="n">
        <v>112</v>
      </c>
      <c r="B19" s="5" t="inlineStr">
        <is>
          <t>Simran Kaur</t>
        </is>
      </c>
      <c r="C19" s="5" t="inlineStr">
        <is>
          <t>Marketing</t>
        </is>
      </c>
      <c r="D19" s="5" t="inlineStr">
        <is>
          <t>Agra</t>
        </is>
      </c>
      <c r="E19" s="12" t="n">
        <v>35000</v>
      </c>
      <c r="F19" s="7" t="n">
        <v>45019</v>
      </c>
      <c r="G19" s="4" t="n">
        <v>2</v>
      </c>
      <c r="H19" s="5" t="inlineStr">
        <is>
          <t>Content Writer</t>
        </is>
      </c>
    </row>
    <row r="20" hidden="1">
      <c r="A20" s="4" t="n">
        <v>108</v>
      </c>
      <c r="B20" s="5" t="inlineStr">
        <is>
          <t>Neha Pandey</t>
        </is>
      </c>
      <c r="C20" s="5" t="inlineStr">
        <is>
          <t>Sales</t>
        </is>
      </c>
      <c r="D20" s="5" t="inlineStr">
        <is>
          <t>Lucknow</t>
        </is>
      </c>
      <c r="E20" s="12" t="n">
        <v>80000</v>
      </c>
      <c r="F20" s="7" t="n">
        <v>42904</v>
      </c>
      <c r="G20" s="4" t="n">
        <v>5</v>
      </c>
      <c r="H20" s="5" t="inlineStr">
        <is>
          <t>Sales Manager</t>
        </is>
      </c>
    </row>
    <row r="21" hidden="1">
      <c r="A21" s="4" t="n">
        <v>117</v>
      </c>
      <c r="B21" s="5" t="inlineStr">
        <is>
          <t>Sanjay Dubey</t>
        </is>
      </c>
      <c r="C21" s="5" t="inlineStr">
        <is>
          <t>Sales</t>
        </is>
      </c>
      <c r="D21" s="5" t="inlineStr">
        <is>
          <t>Lucknow</t>
        </is>
      </c>
      <c r="E21" s="12" t="n">
        <v>43000</v>
      </c>
      <c r="F21" s="7" t="n">
        <v>43878</v>
      </c>
      <c r="G21" s="4" t="n">
        <v>2</v>
      </c>
      <c r="H21" s="5" t="inlineStr">
        <is>
          <t>Sales Executive</t>
        </is>
      </c>
    </row>
    <row r="22" hidden="1">
      <c r="A22" s="4" t="n">
        <v>102</v>
      </c>
      <c r="B22" s="5" t="inlineStr">
        <is>
          <t>Priya Verma</t>
        </is>
      </c>
      <c r="C22" s="5" t="inlineStr">
        <is>
          <t>Sales</t>
        </is>
      </c>
      <c r="D22" s="5" t="inlineStr">
        <is>
          <t>Lucknow</t>
        </is>
      </c>
      <c r="E22" s="12" t="n">
        <v>42000</v>
      </c>
      <c r="F22" s="7" t="n">
        <v>44013</v>
      </c>
      <c r="G22" s="4" t="n">
        <v>3</v>
      </c>
      <c r="H22" s="5" t="inlineStr">
        <is>
          <t>Sales Executive</t>
        </is>
      </c>
    </row>
    <row r="23" hidden="1">
      <c r="A23" s="4" t="n">
        <v>113</v>
      </c>
      <c r="B23" s="5" t="inlineStr">
        <is>
          <t>Deepak Joshi</t>
        </is>
      </c>
      <c r="C23" s="5" t="inlineStr">
        <is>
          <t>Sales</t>
        </is>
      </c>
      <c r="D23" s="5" t="inlineStr">
        <is>
          <t>Lucknow</t>
        </is>
      </c>
      <c r="E23" s="12" t="n">
        <v>40000</v>
      </c>
      <c r="F23" s="7" t="n">
        <v>44531</v>
      </c>
      <c r="G23" s="4" t="n">
        <v>3</v>
      </c>
      <c r="H23" s="5" t="inlineStr">
        <is>
          <t>Sales Executive</t>
        </is>
      </c>
    </row>
    <row r="24" hidden="1">
      <c r="A24" s="4" t="n">
        <v>120</v>
      </c>
      <c r="B24" s="5" t="inlineStr">
        <is>
          <t>Tanya Kapoor</t>
        </is>
      </c>
      <c r="C24" s="5" t="inlineStr">
        <is>
          <t>Unassigned</t>
        </is>
      </c>
      <c r="D24" s="5" t="inlineStr">
        <is>
          <t>Delhi</t>
        </is>
      </c>
      <c r="E24" s="12" t="n">
        <v>15000</v>
      </c>
      <c r="F24" s="7" t="n">
        <v>45299</v>
      </c>
      <c r="G24" s="4" t="n">
        <v>2</v>
      </c>
      <c r="H24" s="5" t="inlineStr">
        <is>
          <t>Intern</t>
        </is>
      </c>
    </row>
  </sheetData>
  <autoFilter ref="A4:H24">
    <filterColumn colId="2" hiddenButton="0" showButton="1">
      <filters blank="0">
        <filter val="IT"/>
      </filters>
    </filterColumn>
  </autoFilter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2" customWidth="1" min="4" max="4"/>
    <col width="15" customWidth="1" min="5" max="5"/>
    <col width="14" customWidth="1" min="6" max="6"/>
    <col width="12" customWidth="1" min="7" max="7"/>
    <col width="19" customWidth="1" min="8" max="8"/>
    <col width="13" customWidth="1" min="9" max="9"/>
    <col width="3" customWidth="1" min="10" max="10"/>
    <col width="36" customWidth="1" min="11" max="11"/>
    <col width="14" customWidth="1" min="12" max="12"/>
    <col width="14" customWidth="1" min="13" max="13"/>
  </cols>
  <sheetData>
    <row r="1">
      <c r="A1" s="1" t="inlineStr">
        <is>
          <t>Task 7 - Conditional Formatting &amp; Functions (IF, COUNTIF, SUMIF)</t>
        </is>
      </c>
    </row>
    <row r="2">
      <c r="A2" s="2" t="inlineStr">
        <is>
          <t>Formula columns H-I use IF(); summary block on the right uses COUNTIF() and SUMIF(). Bonus % is an editable assumption (blue).</t>
        </is>
      </c>
    </row>
    <row r="3">
      <c r="K3" s="13" t="inlineStr">
        <is>
          <t>Assumptions / Legend</t>
        </is>
      </c>
    </row>
    <row r="4" ht="24" customHeight="1">
      <c r="A4" s="3" t="inlineStr">
        <is>
          <t>Emp ID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City</t>
        </is>
      </c>
      <c r="E4" s="3" t="inlineStr">
        <is>
          <t>Salary (INR)</t>
        </is>
      </c>
      <c r="F4" s="3" t="inlineStr">
        <is>
          <t>Join Date</t>
        </is>
      </c>
      <c r="G4" s="3" t="inlineStr">
        <is>
          <t>Rating (1-5)</t>
        </is>
      </c>
      <c r="H4" s="3" t="inlineStr">
        <is>
          <t>Performance (IF)</t>
        </is>
      </c>
      <c r="I4" s="3" t="inlineStr">
        <is>
          <t>Bonus (IF)</t>
        </is>
      </c>
      <c r="K4" s="13" t="inlineStr">
        <is>
          <t>Colour rules</t>
        </is>
      </c>
    </row>
    <row r="5">
      <c r="A5" s="4" t="n">
        <v>101</v>
      </c>
      <c r="B5" s="5" t="inlineStr">
        <is>
          <t>Aarav Sharma</t>
        </is>
      </c>
      <c r="C5" s="5" t="inlineStr">
        <is>
          <t>IT</t>
        </is>
      </c>
      <c r="D5" s="5" t="inlineStr">
        <is>
          <t>Noida</t>
        </is>
      </c>
      <c r="E5" s="12" t="n">
        <v>65000</v>
      </c>
      <c r="F5" s="7" t="n">
        <v>44270</v>
      </c>
      <c r="G5" s="4" t="n">
        <v>4</v>
      </c>
      <c r="H5" s="4">
        <f>IF(G5&gt;=4,"Excellent",IF(G5&gt;=3,"Good","Needs Improvement"))</f>
        <v/>
      </c>
      <c r="I5" s="14">
        <f>IF(G5&gt;=4,E5*$L$5,0)</f>
        <v/>
      </c>
      <c r="K5" s="15" t="inlineStr">
        <is>
          <t>Bonus % for Rating &gt;= 4</t>
        </is>
      </c>
      <c r="L5" s="16" t="n">
        <v>0.1</v>
      </c>
    </row>
    <row r="6">
      <c r="A6" s="4" t="n">
        <v>102</v>
      </c>
      <c r="B6" s="5" t="inlineStr">
        <is>
          <t>Priya Verma</t>
        </is>
      </c>
      <c r="C6" s="5" t="inlineStr">
        <is>
          <t>Sales</t>
        </is>
      </c>
      <c r="D6" s="5" t="inlineStr">
        <is>
          <t>Lucknow</t>
        </is>
      </c>
      <c r="E6" s="12" t="n">
        <v>42000</v>
      </c>
      <c r="F6" s="7" t="n">
        <v>44013</v>
      </c>
      <c r="G6" s="4" t="n">
        <v>3</v>
      </c>
      <c r="H6" s="4">
        <f>IF(G6&gt;=4,"Excellent",IF(G6&gt;=3,"Good","Needs Improvement"))</f>
        <v/>
      </c>
      <c r="I6" s="14">
        <f>IF(G6&gt;=4,E6*$L$5,0)</f>
        <v/>
      </c>
      <c r="K6" s="2" t="inlineStr">
        <is>
          <t>Salary &gt;= 70,000 = green; &lt; 40,000 = red</t>
        </is>
      </c>
    </row>
    <row r="7">
      <c r="A7" s="4" t="n">
        <v>103</v>
      </c>
      <c r="B7" s="5" t="inlineStr">
        <is>
          <t>Rohan Gupta</t>
        </is>
      </c>
      <c r="C7" s="5" t="inlineStr">
        <is>
          <t>IT</t>
        </is>
      </c>
      <c r="D7" s="5" t="inlineStr">
        <is>
          <t>Noida</t>
        </is>
      </c>
      <c r="E7" s="12" t="n">
        <v>58000</v>
      </c>
      <c r="F7" s="7" t="n">
        <v>44571</v>
      </c>
      <c r="G7" s="4" t="n">
        <v>5</v>
      </c>
      <c r="H7" s="4">
        <f>IF(G7&gt;=4,"Excellent",IF(G7&gt;=3,"Good","Needs Improvement"))</f>
        <v/>
      </c>
      <c r="I7" s="14">
        <f>IF(G7&gt;=4,E7*$L$5,0)</f>
        <v/>
      </c>
      <c r="K7" s="2" t="inlineStr">
        <is>
          <t>Rating &gt;= 4 green, &lt;= 2 red</t>
        </is>
      </c>
    </row>
    <row r="8">
      <c r="A8" s="4" t="n">
        <v>104</v>
      </c>
      <c r="B8" s="5" t="inlineStr">
        <is>
          <t>Sneha Singh</t>
        </is>
      </c>
      <c r="C8" s="5" t="inlineStr">
        <is>
          <t>HR</t>
        </is>
      </c>
      <c r="D8" s="5" t="inlineStr">
        <is>
          <t>Kanpur</t>
        </is>
      </c>
      <c r="E8" s="12" t="n">
        <v>72000</v>
      </c>
      <c r="F8" s="7" t="n">
        <v>43605</v>
      </c>
      <c r="G8" s="4" t="n">
        <v>4</v>
      </c>
      <c r="H8" s="4">
        <f>IF(G8&gt;=4,"Excellent",IF(G8&gt;=3,"Good","Needs Improvement"))</f>
        <v/>
      </c>
      <c r="I8" s="14">
        <f>IF(G8&gt;=4,E8*$L$5,0)</f>
        <v/>
      </c>
    </row>
    <row r="9">
      <c r="A9" s="4" t="n">
        <v>105</v>
      </c>
      <c r="B9" s="5" t="inlineStr">
        <is>
          <t>Vikram Yadav</t>
        </is>
      </c>
      <c r="C9" s="5" t="inlineStr">
        <is>
          <t>Finance</t>
        </is>
      </c>
      <c r="D9" s="5" t="inlineStr">
        <is>
          <t>Delhi</t>
        </is>
      </c>
      <c r="E9" s="12" t="n">
        <v>48000</v>
      </c>
      <c r="F9" s="7" t="n">
        <v>44451</v>
      </c>
      <c r="G9" s="4" t="n">
        <v>3</v>
      </c>
      <c r="H9" s="4">
        <f>IF(G9&gt;=4,"Excellent",IF(G9&gt;=3,"Good","Needs Improvement"))</f>
        <v/>
      </c>
      <c r="I9" s="14">
        <f>IF(G9&gt;=4,E9*$L$5,0)</f>
        <v/>
      </c>
      <c r="K9" s="3" t="inlineStr">
        <is>
          <t>Department</t>
        </is>
      </c>
      <c r="L9" s="3" t="inlineStr">
        <is>
          <t>COUNTIF
(Employees)</t>
        </is>
      </c>
      <c r="M9" s="3" t="inlineStr">
        <is>
          <t>SUMIF
(Total Salary)</t>
        </is>
      </c>
    </row>
    <row r="10">
      <c r="A10" s="4" t="n">
        <v>106</v>
      </c>
      <c r="B10" s="5" t="inlineStr">
        <is>
          <t>Anjali Mishra</t>
        </is>
      </c>
      <c r="C10" s="5" t="inlineStr">
        <is>
          <t>Marketing</t>
        </is>
      </c>
      <c r="D10" s="5" t="inlineStr">
        <is>
          <t>Agra</t>
        </is>
      </c>
      <c r="E10" s="12" t="n">
        <v>61000</v>
      </c>
      <c r="F10" s="7" t="n">
        <v>44165</v>
      </c>
      <c r="G10" s="4" t="n">
        <v>4</v>
      </c>
      <c r="H10" s="4">
        <f>IF(G10&gt;=4,"Excellent",IF(G10&gt;=3,"Good","Needs Improvement"))</f>
        <v/>
      </c>
      <c r="I10" s="14">
        <f>IF(G10&gt;=4,E10*$L$5,0)</f>
        <v/>
      </c>
      <c r="K10" s="5" t="inlineStr">
        <is>
          <t>Sales</t>
        </is>
      </c>
      <c r="L10" s="5">
        <f>COUNTIF($C$5:$C$24,K10)</f>
        <v/>
      </c>
      <c r="M10" s="12">
        <f>SUMIF($C$5:$C$24,K10,$E$5:$E$24)</f>
        <v/>
      </c>
    </row>
    <row r="11">
      <c r="A11" s="4" t="n">
        <v>107</v>
      </c>
      <c r="B11" s="5" t="inlineStr">
        <is>
          <t>Karan Tiwari</t>
        </is>
      </c>
      <c r="C11" s="5" t="inlineStr">
        <is>
          <t>IT</t>
        </is>
      </c>
      <c r="D11" s="5" t="inlineStr">
        <is>
          <t>Noida</t>
        </is>
      </c>
      <c r="E11" s="12" t="n">
        <v>70000</v>
      </c>
      <c r="F11" s="7" t="n">
        <v>43156</v>
      </c>
      <c r="G11" s="4" t="n">
        <v>5</v>
      </c>
      <c r="H11" s="4">
        <f>IF(G11&gt;=4,"Excellent",IF(G11&gt;=3,"Good","Needs Improvement"))</f>
        <v/>
      </c>
      <c r="I11" s="14">
        <f>IF(G11&gt;=4,E11*$L$5,0)</f>
        <v/>
      </c>
      <c r="K11" s="5" t="inlineStr">
        <is>
          <t>IT</t>
        </is>
      </c>
      <c r="L11" s="5">
        <f>COUNTIF($C$5:$C$24,K11)</f>
        <v/>
      </c>
      <c r="M11" s="12">
        <f>SUMIF($C$5:$C$24,K11,$E$5:$E$24)</f>
        <v/>
      </c>
    </row>
    <row r="12">
      <c r="A12" s="4" t="n">
        <v>108</v>
      </c>
      <c r="B12" s="5" t="inlineStr">
        <is>
          <t>Neha Pandey</t>
        </is>
      </c>
      <c r="C12" s="5" t="inlineStr">
        <is>
          <t>Sales</t>
        </is>
      </c>
      <c r="D12" s="5" t="inlineStr">
        <is>
          <t>Lucknow</t>
        </is>
      </c>
      <c r="E12" s="12" t="n">
        <v>80000</v>
      </c>
      <c r="F12" s="7" t="n">
        <v>42904</v>
      </c>
      <c r="G12" s="4" t="n">
        <v>5</v>
      </c>
      <c r="H12" s="4">
        <f>IF(G12&gt;=4,"Excellent",IF(G12&gt;=3,"Good","Needs Improvement"))</f>
        <v/>
      </c>
      <c r="I12" s="14">
        <f>IF(G12&gt;=4,E12*$L$5,0)</f>
        <v/>
      </c>
      <c r="K12" s="5" t="inlineStr">
        <is>
          <t>HR</t>
        </is>
      </c>
      <c r="L12" s="5">
        <f>COUNTIF($C$5:$C$24,K12)</f>
        <v/>
      </c>
      <c r="M12" s="12">
        <f>SUMIF($C$5:$C$24,K12,$E$5:$E$24)</f>
        <v/>
      </c>
    </row>
    <row r="13">
      <c r="A13" s="4" t="n">
        <v>109</v>
      </c>
      <c r="B13" s="5" t="inlineStr">
        <is>
          <t>Amit Kumar</t>
        </is>
      </c>
      <c r="C13" s="5" t="inlineStr">
        <is>
          <t>Finance</t>
        </is>
      </c>
      <c r="D13" s="5" t="inlineStr">
        <is>
          <t>Delhi</t>
        </is>
      </c>
      <c r="E13" s="12" t="n">
        <v>55000</v>
      </c>
      <c r="F13" s="7" t="n">
        <v>44778</v>
      </c>
      <c r="G13" s="4" t="n">
        <v>3</v>
      </c>
      <c r="H13" s="4">
        <f>IF(G13&gt;=4,"Excellent",IF(G13&gt;=3,"Good","Needs Improvement"))</f>
        <v/>
      </c>
      <c r="I13" s="14">
        <f>IF(G13&gt;=4,E13*$L$5,0)</f>
        <v/>
      </c>
      <c r="K13" s="5" t="inlineStr">
        <is>
          <t>Finance</t>
        </is>
      </c>
      <c r="L13" s="5">
        <f>COUNTIF($C$5:$C$24,K13)</f>
        <v/>
      </c>
      <c r="M13" s="12">
        <f>SUMIF($C$5:$C$24,K13,$E$5:$E$24)</f>
        <v/>
      </c>
    </row>
    <row r="14">
      <c r="A14" s="4" t="n">
        <v>110</v>
      </c>
      <c r="B14" s="5" t="inlineStr">
        <is>
          <t>Pooja Chauhan</t>
        </is>
      </c>
      <c r="C14" s="5" t="inlineStr">
        <is>
          <t>HR</t>
        </is>
      </c>
      <c r="D14" s="5" t="inlineStr">
        <is>
          <t>Kanpur</t>
        </is>
      </c>
      <c r="E14" s="12" t="n">
        <v>38000</v>
      </c>
      <c r="F14" s="7" t="n">
        <v>44942</v>
      </c>
      <c r="G14" s="4" t="n">
        <v>2</v>
      </c>
      <c r="H14" s="4">
        <f>IF(G14&gt;=4,"Excellent",IF(G14&gt;=3,"Good","Needs Improvement"))</f>
        <v/>
      </c>
      <c r="I14" s="14">
        <f>IF(G14&gt;=4,E14*$L$5,0)</f>
        <v/>
      </c>
      <c r="K14" s="5" t="inlineStr">
        <is>
          <t>Marketing</t>
        </is>
      </c>
      <c r="L14" s="5">
        <f>COUNTIF($C$5:$C$24,K14)</f>
        <v/>
      </c>
      <c r="M14" s="12">
        <f>SUMIF($C$5:$C$24,K14,$E$5:$E$24)</f>
        <v/>
      </c>
    </row>
    <row r="15">
      <c r="A15" s="4" t="n">
        <v>111</v>
      </c>
      <c r="B15" s="5" t="inlineStr">
        <is>
          <t>Rahul Saxena</t>
        </is>
      </c>
      <c r="C15" s="5" t="inlineStr">
        <is>
          <t>IT</t>
        </is>
      </c>
      <c r="D15" s="5" t="inlineStr">
        <is>
          <t>Noida</t>
        </is>
      </c>
      <c r="E15" s="12" t="n">
        <v>85000</v>
      </c>
      <c r="F15" s="7" t="n">
        <v>43747</v>
      </c>
      <c r="G15" s="4" t="n">
        <v>5</v>
      </c>
      <c r="H15" s="4">
        <f>IF(G15&gt;=4,"Excellent",IF(G15&gt;=3,"Good","Needs Improvement"))</f>
        <v/>
      </c>
      <c r="I15" s="14">
        <f>IF(G15&gt;=4,E15*$L$5,0)</f>
        <v/>
      </c>
      <c r="K15" s="5" t="inlineStr">
        <is>
          <t>Unassigned</t>
        </is>
      </c>
      <c r="L15" s="5">
        <f>COUNTIF($C$5:$C$24,K15)</f>
        <v/>
      </c>
      <c r="M15" s="12">
        <f>SUMIF($C$5:$C$24,K15,$E$5:$E$24)</f>
        <v/>
      </c>
    </row>
    <row r="16">
      <c r="A16" s="4" t="n">
        <v>112</v>
      </c>
      <c r="B16" s="5" t="inlineStr">
        <is>
          <t>Simran Kaur</t>
        </is>
      </c>
      <c r="C16" s="5" t="inlineStr">
        <is>
          <t>Marketing</t>
        </is>
      </c>
      <c r="D16" s="5" t="inlineStr">
        <is>
          <t>Agra</t>
        </is>
      </c>
      <c r="E16" s="12" t="n">
        <v>35000</v>
      </c>
      <c r="F16" s="7" t="n">
        <v>45019</v>
      </c>
      <c r="G16" s="4" t="n">
        <v>2</v>
      </c>
      <c r="H16" s="4">
        <f>IF(G16&gt;=4,"Excellent",IF(G16&gt;=3,"Good","Needs Improvement"))</f>
        <v/>
      </c>
      <c r="I16" s="14">
        <f>IF(G16&gt;=4,E16*$L$5,0)</f>
        <v/>
      </c>
      <c r="K16" s="17" t="inlineStr">
        <is>
          <t>Total</t>
        </is>
      </c>
      <c r="L16" s="17">
        <f>SUM(L10:L15)</f>
        <v/>
      </c>
      <c r="M16" s="18">
        <f>SUM(M10:M15)</f>
        <v/>
      </c>
    </row>
    <row r="17">
      <c r="A17" s="4" t="n">
        <v>113</v>
      </c>
      <c r="B17" s="5" t="inlineStr">
        <is>
          <t>Deepak Joshi</t>
        </is>
      </c>
      <c r="C17" s="5" t="inlineStr">
        <is>
          <t>Sales</t>
        </is>
      </c>
      <c r="D17" s="5" t="inlineStr">
        <is>
          <t>Lucknow</t>
        </is>
      </c>
      <c r="E17" s="12" t="n">
        <v>40000</v>
      </c>
      <c r="F17" s="7" t="n">
        <v>44531</v>
      </c>
      <c r="G17" s="4" t="n">
        <v>3</v>
      </c>
      <c r="H17" s="4">
        <f>IF(G17&gt;=4,"Excellent",IF(G17&gt;=3,"Good","Needs Improvement"))</f>
        <v/>
      </c>
      <c r="I17" s="14">
        <f>IF(G17&gt;=4,E17*$L$5,0)</f>
        <v/>
      </c>
    </row>
    <row r="18">
      <c r="A18" s="4" t="n">
        <v>114</v>
      </c>
      <c r="B18" s="5" t="inlineStr">
        <is>
          <t>Meera Nair</t>
        </is>
      </c>
      <c r="C18" s="5" t="inlineStr">
        <is>
          <t>Finance</t>
        </is>
      </c>
      <c r="D18" s="5" t="inlineStr">
        <is>
          <t>Delhi</t>
        </is>
      </c>
      <c r="E18" s="12" t="n">
        <v>90000</v>
      </c>
      <c r="F18" s="7" t="n">
        <v>42443</v>
      </c>
      <c r="G18" s="4" t="n">
        <v>4</v>
      </c>
      <c r="H18" s="4">
        <f>IF(G18&gt;=4,"Excellent",IF(G18&gt;=3,"Good","Needs Improvement"))</f>
        <v/>
      </c>
      <c r="I18" s="14">
        <f>IF(G18&gt;=4,E18*$L$5,0)</f>
        <v/>
      </c>
      <c r="K18" s="13" t="inlineStr">
        <is>
          <t>Other examples</t>
        </is>
      </c>
    </row>
    <row r="19">
      <c r="A19" s="4" t="n">
        <v>115</v>
      </c>
      <c r="B19" s="5" t="inlineStr">
        <is>
          <t>Arjun Mehta</t>
        </is>
      </c>
      <c r="C19" s="5" t="inlineStr">
        <is>
          <t>IT</t>
        </is>
      </c>
      <c r="D19" s="5" t="inlineStr">
        <is>
          <t>Noida</t>
        </is>
      </c>
      <c r="E19" s="12" t="n">
        <v>62000</v>
      </c>
      <c r="F19" s="7" t="n">
        <v>44733</v>
      </c>
      <c r="G19" s="4" t="n">
        <v>4</v>
      </c>
      <c r="H19" s="4">
        <f>IF(G19&gt;=4,"Excellent",IF(G19&gt;=3,"Good","Needs Improvement"))</f>
        <v/>
      </c>
      <c r="I19" s="14">
        <f>IF(G19&gt;=4,E19*$L$5,0)</f>
        <v/>
      </c>
      <c r="K19" s="5" t="inlineStr">
        <is>
          <t>Employees with Rating &gt;= 4</t>
        </is>
      </c>
      <c r="L19" s="19">
        <f>COUNTIF(G5:G24,"&gt;=4")</f>
        <v/>
      </c>
    </row>
    <row r="20">
      <c r="A20" s="4" t="n">
        <v>116</v>
      </c>
      <c r="B20" s="5" t="inlineStr">
        <is>
          <t>Kavya Rao</t>
        </is>
      </c>
      <c r="C20" s="5" t="inlineStr">
        <is>
          <t>Marketing</t>
        </is>
      </c>
      <c r="D20" s="5" t="inlineStr">
        <is>
          <t>Agra</t>
        </is>
      </c>
      <c r="E20" s="12" t="n">
        <v>45000</v>
      </c>
      <c r="F20" s="7" t="n">
        <v>44327</v>
      </c>
      <c r="G20" s="4" t="n">
        <v>3</v>
      </c>
      <c r="H20" s="4">
        <f>IF(G20&gt;=4,"Excellent",IF(G20&gt;=3,"Good","Needs Improvement"))</f>
        <v/>
      </c>
      <c r="I20" s="14">
        <f>IF(G20&gt;=4,E20*$L$5,0)</f>
        <v/>
      </c>
      <c r="K20" s="5" t="inlineStr">
        <is>
          <t>Employees with Salary &gt; 60,000</t>
        </is>
      </c>
      <c r="L20" s="19">
        <f>COUNTIF(E5:E24,"&gt;60000")</f>
        <v/>
      </c>
    </row>
    <row r="21">
      <c r="A21" s="4" t="n">
        <v>117</v>
      </c>
      <c r="B21" s="5" t="inlineStr">
        <is>
          <t>Sanjay Dubey</t>
        </is>
      </c>
      <c r="C21" s="5" t="inlineStr">
        <is>
          <t>Sales</t>
        </is>
      </c>
      <c r="D21" s="5" t="inlineStr">
        <is>
          <t>Lucknow</t>
        </is>
      </c>
      <c r="E21" s="12" t="n">
        <v>43000</v>
      </c>
      <c r="F21" s="7" t="n">
        <v>43878</v>
      </c>
      <c r="G21" s="4" t="n">
        <v>2</v>
      </c>
      <c r="H21" s="4">
        <f>IF(G21&gt;=4,"Excellent",IF(G21&gt;=3,"Good","Needs Improvement"))</f>
        <v/>
      </c>
      <c r="I21" s="14">
        <f>IF(G21&gt;=4,E21*$L$5,0)</f>
        <v/>
      </c>
      <c r="K21" s="5" t="inlineStr">
        <is>
          <t>Total salary of Rating &gt;= 4 staff</t>
        </is>
      </c>
      <c r="L21" s="12">
        <f>SUMIF(G5:G24,"&gt;=4",E5:E24)</f>
        <v/>
      </c>
    </row>
    <row r="22">
      <c r="A22" s="4" t="n">
        <v>118</v>
      </c>
      <c r="B22" s="5" t="inlineStr">
        <is>
          <t>Ritu Agarwal</t>
        </is>
      </c>
      <c r="C22" s="5" t="inlineStr">
        <is>
          <t>HR</t>
        </is>
      </c>
      <c r="D22" s="5" t="inlineStr">
        <is>
          <t>Kanpur</t>
        </is>
      </c>
      <c r="E22" s="12" t="n">
        <v>41000</v>
      </c>
      <c r="F22" s="7" t="n">
        <v>44893</v>
      </c>
      <c r="G22" s="4" t="n">
        <v>4</v>
      </c>
      <c r="H22" s="4">
        <f>IF(G22&gt;=4,"Excellent",IF(G22&gt;=3,"Good","Needs Improvement"))</f>
        <v/>
      </c>
      <c r="I22" s="14">
        <f>IF(G22&gt;=4,E22*$L$5,0)</f>
        <v/>
      </c>
      <c r="K22" s="5" t="inlineStr">
        <is>
          <t>Total bonus payable</t>
        </is>
      </c>
      <c r="L22" s="12">
        <f>SUM(I5:I24)</f>
        <v/>
      </c>
    </row>
    <row r="23">
      <c r="A23" s="4" t="n">
        <v>119</v>
      </c>
      <c r="B23" s="5" t="inlineStr">
        <is>
          <t>Manish Bajpai</t>
        </is>
      </c>
      <c r="C23" s="5" t="inlineStr">
        <is>
          <t>IT</t>
        </is>
      </c>
      <c r="D23" s="5" t="inlineStr">
        <is>
          <t>Noida</t>
        </is>
      </c>
      <c r="E23" s="12" t="n">
        <v>52000</v>
      </c>
      <c r="F23" s="7" t="n">
        <v>44396</v>
      </c>
      <c r="G23" s="4" t="n">
        <v>3</v>
      </c>
      <c r="H23" s="4">
        <f>IF(G23&gt;=4,"Excellent",IF(G23&gt;=3,"Good","Needs Improvement"))</f>
        <v/>
      </c>
      <c r="I23" s="14">
        <f>IF(G23&gt;=4,E23*$L$5,0)</f>
        <v/>
      </c>
      <c r="K23" s="5" t="inlineStr">
        <is>
          <t>Check: total = dataset salary sum</t>
        </is>
      </c>
      <c r="L23" s="5">
        <f>IF(M16=SUM(E5:E24),"OK - matches","MISMATCH")</f>
        <v/>
      </c>
    </row>
    <row r="24">
      <c r="A24" s="4" t="n">
        <v>120</v>
      </c>
      <c r="B24" s="5" t="inlineStr">
        <is>
          <t>Tanya Kapoor</t>
        </is>
      </c>
      <c r="C24" s="5" t="inlineStr">
        <is>
          <t>Unassigned</t>
        </is>
      </c>
      <c r="D24" s="5" t="inlineStr">
        <is>
          <t>Delhi</t>
        </is>
      </c>
      <c r="E24" s="12" t="n">
        <v>15000</v>
      </c>
      <c r="F24" s="7" t="n">
        <v>45299</v>
      </c>
      <c r="G24" s="4" t="n">
        <v>2</v>
      </c>
      <c r="H24" s="4">
        <f>IF(G24&gt;=4,"Excellent",IF(G24&gt;=3,"Good","Needs Improvement"))</f>
        <v/>
      </c>
      <c r="I24" s="14">
        <f>IF(G24&gt;=4,E24*$L$5,0)</f>
        <v/>
      </c>
    </row>
  </sheetData>
  <conditionalFormatting sqref="E5:E24">
    <cfRule type="cellIs" priority="1" operator="greaterThanOrEqual" dxfId="0">
      <formula>70000</formula>
    </cfRule>
    <cfRule type="cellIs" priority="2" operator="lessThan" dxfId="1">
      <formula>40000</formula>
    </cfRule>
  </conditionalFormatting>
  <conditionalFormatting sqref="G5:G24">
    <cfRule type="cellIs" priority="3" operator="greaterThanOrEqual" dxfId="2">
      <formula>4</formula>
    </cfRule>
    <cfRule type="cellIs" priority="4" operator="lessThanOrEqual" dxfId="3">
      <formula>2</formula>
    </cfRule>
  </conditionalFormatting>
  <conditionalFormatting sqref="H5:H24">
    <cfRule type="expression" priority="5" dxfId="4">
      <formula>$H5="Good"</formula>
    </cfRule>
    <cfRule type="expression" priority="6" dxfId="2">
      <formula>$H5="Excellent"</formula>
    </cfRule>
    <cfRule type="expression" priority="7" dxfId="3">
      <formula>$H5="Needs Improvement"</formula>
    </cfRule>
  </conditionalFormatting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26" customWidth="1" min="4" max="4"/>
    <col width="17" customWidth="1" min="5" max="5"/>
    <col width="17" customWidth="1" min="6" max="6"/>
    <col width="3" customWidth="1" min="7" max="7"/>
    <col width="9" customWidth="1" min="8" max="8"/>
    <col width="14" customWidth="1" min="9" max="9"/>
    <col width="18" customWidth="1" min="10" max="10"/>
    <col width="12" customWidth="1" min="11" max="11"/>
  </cols>
  <sheetData>
    <row r="1">
      <c r="A1" s="1" t="inlineStr">
        <is>
          <t>Task 8 - VLOOKUP &amp; XLOOKUP across two related tables</t>
        </is>
      </c>
    </row>
    <row r="2">
      <c r="A2" s="2" t="inlineStr">
        <is>
          <t>Table 1 (A-C) = Employees, Table 2 (H-K) = Departments. Common column = Dept ID.</t>
        </is>
      </c>
    </row>
    <row r="4" ht="24" customHeight="1">
      <c r="A4" s="3" t="inlineStr">
        <is>
          <t>Emp ID</t>
        </is>
      </c>
      <c r="B4" s="3" t="inlineStr">
        <is>
          <t>Employee Name</t>
        </is>
      </c>
      <c r="C4" s="3" t="inlineStr">
        <is>
          <t>Dept ID</t>
        </is>
      </c>
      <c r="D4" s="3" t="inlineStr">
        <is>
          <t>Dept Name
(VLOOKUP)</t>
        </is>
      </c>
      <c r="E4" s="3" t="inlineStr">
        <is>
          <t>Location
(VLOOKUP col 4)</t>
        </is>
      </c>
      <c r="F4" s="3" t="inlineStr">
        <is>
          <t>Manager
(XLOOKUP)</t>
        </is>
      </c>
      <c r="H4" s="3" t="inlineStr">
        <is>
          <t>Dept ID</t>
        </is>
      </c>
      <c r="I4" s="3" t="inlineStr">
        <is>
          <t>Dept Name</t>
        </is>
      </c>
      <c r="J4" s="3" t="inlineStr">
        <is>
          <t>Manager</t>
        </is>
      </c>
      <c r="K4" s="3" t="inlineStr">
        <is>
          <t>Location</t>
        </is>
      </c>
    </row>
    <row r="5">
      <c r="A5" s="4" t="n">
        <v>101</v>
      </c>
      <c r="B5" s="5" t="inlineStr">
        <is>
          <t>Aarav Sharma</t>
        </is>
      </c>
      <c r="C5" s="4" t="n">
        <v>2</v>
      </c>
      <c r="D5" s="5">
        <f>IFERROR(VLOOKUP(C5,$H$5:$K$10,2,FALSE),"Not Assigned")</f>
        <v/>
      </c>
      <c r="E5" s="5">
        <f>IFERROR(VLOOKUP(C5,$H$5:$K$10,4,FALSE),"-")</f>
        <v/>
      </c>
      <c r="F5" s="5">
        <f>_xlfn.XLOOKUP(C5,$H$5:$H$10,$J$5:$J$10,"Not Assigned")</f>
        <v/>
      </c>
      <c r="H5" s="5" t="n">
        <v>1</v>
      </c>
      <c r="I5" s="5" t="inlineStr">
        <is>
          <t>Sales</t>
        </is>
      </c>
      <c r="J5" s="5" t="inlineStr">
        <is>
          <t>Neha Pandey</t>
        </is>
      </c>
      <c r="K5" s="5" t="inlineStr">
        <is>
          <t>Lucknow</t>
        </is>
      </c>
    </row>
    <row r="6">
      <c r="A6" s="4" t="n">
        <v>102</v>
      </c>
      <c r="B6" s="5" t="inlineStr">
        <is>
          <t>Priya Verma</t>
        </is>
      </c>
      <c r="C6" s="4" t="n">
        <v>1</v>
      </c>
      <c r="D6" s="5">
        <f>IFERROR(VLOOKUP(C6,$H$5:$K$10,2,FALSE),"Not Assigned")</f>
        <v/>
      </c>
      <c r="E6" s="5">
        <f>IFERROR(VLOOKUP(C6,$H$5:$K$10,4,FALSE),"-")</f>
        <v/>
      </c>
      <c r="F6" s="5">
        <f>_xlfn.XLOOKUP(C6,$H$5:$H$10,$J$5:$J$10,"Not Assigned")</f>
        <v/>
      </c>
      <c r="H6" s="5" t="n">
        <v>2</v>
      </c>
      <c r="I6" s="5" t="inlineStr">
        <is>
          <t>IT</t>
        </is>
      </c>
      <c r="J6" s="5" t="inlineStr">
        <is>
          <t>Rahul Saxena</t>
        </is>
      </c>
      <c r="K6" s="5" t="inlineStr">
        <is>
          <t>Noida</t>
        </is>
      </c>
    </row>
    <row r="7">
      <c r="A7" s="4" t="n">
        <v>103</v>
      </c>
      <c r="B7" s="5" t="inlineStr">
        <is>
          <t>Rohan Gupta</t>
        </is>
      </c>
      <c r="C7" s="4" t="n">
        <v>2</v>
      </c>
      <c r="D7" s="5">
        <f>IFERROR(VLOOKUP(C7,$H$5:$K$10,2,FALSE),"Not Assigned")</f>
        <v/>
      </c>
      <c r="E7" s="5">
        <f>IFERROR(VLOOKUP(C7,$H$5:$K$10,4,FALSE),"-")</f>
        <v/>
      </c>
      <c r="F7" s="5">
        <f>_xlfn.XLOOKUP(C7,$H$5:$H$10,$J$5:$J$10,"Not Assigned")</f>
        <v/>
      </c>
      <c r="H7" s="5" t="n">
        <v>3</v>
      </c>
      <c r="I7" s="5" t="inlineStr">
        <is>
          <t>HR</t>
        </is>
      </c>
      <c r="J7" s="5" t="inlineStr">
        <is>
          <t>Sneha Singh</t>
        </is>
      </c>
      <c r="K7" s="5" t="inlineStr">
        <is>
          <t>Kanpur</t>
        </is>
      </c>
    </row>
    <row r="8">
      <c r="A8" s="4" t="n">
        <v>104</v>
      </c>
      <c r="B8" s="5" t="inlineStr">
        <is>
          <t>Sneha Singh</t>
        </is>
      </c>
      <c r="C8" s="4" t="n">
        <v>3</v>
      </c>
      <c r="D8" s="5">
        <f>IFERROR(VLOOKUP(C8,$H$5:$K$10,2,FALSE),"Not Assigned")</f>
        <v/>
      </c>
      <c r="E8" s="5">
        <f>IFERROR(VLOOKUP(C8,$H$5:$K$10,4,FALSE),"-")</f>
        <v/>
      </c>
      <c r="F8" s="5">
        <f>_xlfn.XLOOKUP(C8,$H$5:$H$10,$J$5:$J$10,"Not Assigned")</f>
        <v/>
      </c>
      <c r="H8" s="5" t="n">
        <v>4</v>
      </c>
      <c r="I8" s="5" t="inlineStr">
        <is>
          <t>Finance</t>
        </is>
      </c>
      <c r="J8" s="5" t="inlineStr">
        <is>
          <t>Meera Nair</t>
        </is>
      </c>
      <c r="K8" s="5" t="inlineStr">
        <is>
          <t>Delhi</t>
        </is>
      </c>
    </row>
    <row r="9">
      <c r="A9" s="4" t="n">
        <v>105</v>
      </c>
      <c r="B9" s="5" t="inlineStr">
        <is>
          <t>Vikram Yadav</t>
        </is>
      </c>
      <c r="C9" s="4" t="n">
        <v>4</v>
      </c>
      <c r="D9" s="5">
        <f>IFERROR(VLOOKUP(C9,$H$5:$K$10,2,FALSE),"Not Assigned")</f>
        <v/>
      </c>
      <c r="E9" s="5">
        <f>IFERROR(VLOOKUP(C9,$H$5:$K$10,4,FALSE),"-")</f>
        <v/>
      </c>
      <c r="F9" s="5">
        <f>_xlfn.XLOOKUP(C9,$H$5:$H$10,$J$5:$J$10,"Not Assigned")</f>
        <v/>
      </c>
      <c r="H9" s="5" t="n">
        <v>5</v>
      </c>
      <c r="I9" s="5" t="inlineStr">
        <is>
          <t>Marketing</t>
        </is>
      </c>
      <c r="J9" s="5" t="inlineStr">
        <is>
          <t>Anjali Mishra</t>
        </is>
      </c>
      <c r="K9" s="5" t="inlineStr">
        <is>
          <t>Agra</t>
        </is>
      </c>
    </row>
    <row r="10">
      <c r="A10" s="4" t="n">
        <v>106</v>
      </c>
      <c r="B10" s="5" t="inlineStr">
        <is>
          <t>Anjali Mishra</t>
        </is>
      </c>
      <c r="C10" s="4" t="n">
        <v>5</v>
      </c>
      <c r="D10" s="5">
        <f>IFERROR(VLOOKUP(C10,$H$5:$K$10,2,FALSE),"Not Assigned")</f>
        <v/>
      </c>
      <c r="E10" s="5">
        <f>IFERROR(VLOOKUP(C10,$H$5:$K$10,4,FALSE),"-")</f>
        <v/>
      </c>
      <c r="F10" s="5">
        <f>_xlfn.XLOOKUP(C10,$H$5:$H$10,$J$5:$J$10,"Not Assigned")</f>
        <v/>
      </c>
      <c r="H10" s="5" t="n">
        <v>6</v>
      </c>
      <c r="I10" s="5" t="inlineStr">
        <is>
          <t>Legal</t>
        </is>
      </c>
      <c r="J10" s="5" t="inlineStr">
        <is>
          <t>Adv. R. Malhotra</t>
        </is>
      </c>
      <c r="K10" s="5" t="inlineStr">
        <is>
          <t>Delhi</t>
        </is>
      </c>
    </row>
    <row r="11">
      <c r="A11" s="4" t="n">
        <v>107</v>
      </c>
      <c r="B11" s="5" t="inlineStr">
        <is>
          <t>Karan Tiwari</t>
        </is>
      </c>
      <c r="C11" s="4" t="n">
        <v>2</v>
      </c>
      <c r="D11" s="5">
        <f>IFERROR(VLOOKUP(C11,$H$5:$K$10,2,FALSE),"Not Assigned")</f>
        <v/>
      </c>
      <c r="E11" s="5">
        <f>IFERROR(VLOOKUP(C11,$H$5:$K$10,4,FALSE),"-")</f>
        <v/>
      </c>
      <c r="F11" s="5">
        <f>_xlfn.XLOOKUP(C11,$H$5:$H$10,$J$5:$J$10,"Not Assigned")</f>
        <v/>
      </c>
    </row>
    <row r="12">
      <c r="A12" s="4" t="n">
        <v>108</v>
      </c>
      <c r="B12" s="5" t="inlineStr">
        <is>
          <t>Neha Pandey</t>
        </is>
      </c>
      <c r="C12" s="4" t="n">
        <v>1</v>
      </c>
      <c r="D12" s="5">
        <f>IFERROR(VLOOKUP(C12,$H$5:$K$10,2,FALSE),"Not Assigned")</f>
        <v/>
      </c>
      <c r="E12" s="5">
        <f>IFERROR(VLOOKUP(C12,$H$5:$K$10,4,FALSE),"-")</f>
        <v/>
      </c>
      <c r="F12" s="5">
        <f>_xlfn.XLOOKUP(C12,$H$5:$H$10,$J$5:$J$10,"Not Assigned")</f>
        <v/>
      </c>
    </row>
    <row r="13">
      <c r="A13" s="4" t="n">
        <v>109</v>
      </c>
      <c r="B13" s="5" t="inlineStr">
        <is>
          <t>Amit Kumar</t>
        </is>
      </c>
      <c r="C13" s="4" t="n">
        <v>4</v>
      </c>
      <c r="D13" s="5">
        <f>IFERROR(VLOOKUP(C13,$H$5:$K$10,2,FALSE),"Not Assigned")</f>
        <v/>
      </c>
      <c r="E13" s="5">
        <f>IFERROR(VLOOKUP(C13,$H$5:$K$10,4,FALSE),"-")</f>
        <v/>
      </c>
      <c r="F13" s="5">
        <f>_xlfn.XLOOKUP(C13,$H$5:$H$10,$J$5:$J$10,"Not Assigned")</f>
        <v/>
      </c>
    </row>
    <row r="14">
      <c r="A14" s="4" t="n">
        <v>110</v>
      </c>
      <c r="B14" s="5" t="inlineStr">
        <is>
          <t>Pooja Chauhan</t>
        </is>
      </c>
      <c r="C14" s="4" t="n">
        <v>3</v>
      </c>
      <c r="D14" s="5">
        <f>IFERROR(VLOOKUP(C14,$H$5:$K$10,2,FALSE),"Not Assigned")</f>
        <v/>
      </c>
      <c r="E14" s="5">
        <f>IFERROR(VLOOKUP(C14,$H$5:$K$10,4,FALSE),"-")</f>
        <v/>
      </c>
      <c r="F14" s="5">
        <f>_xlfn.XLOOKUP(C14,$H$5:$H$10,$J$5:$J$10,"Not Assigned")</f>
        <v/>
      </c>
    </row>
    <row r="15">
      <c r="A15" s="4" t="n">
        <v>111</v>
      </c>
      <c r="B15" s="5" t="inlineStr">
        <is>
          <t>Rahul Saxena</t>
        </is>
      </c>
      <c r="C15" s="4" t="n">
        <v>2</v>
      </c>
      <c r="D15" s="5">
        <f>IFERROR(VLOOKUP(C15,$H$5:$K$10,2,FALSE),"Not Assigned")</f>
        <v/>
      </c>
      <c r="E15" s="5">
        <f>IFERROR(VLOOKUP(C15,$H$5:$K$10,4,FALSE),"-")</f>
        <v/>
      </c>
      <c r="F15" s="5">
        <f>_xlfn.XLOOKUP(C15,$H$5:$H$10,$J$5:$J$10,"Not Assigned")</f>
        <v/>
      </c>
    </row>
    <row r="16">
      <c r="A16" s="4" t="n">
        <v>112</v>
      </c>
      <c r="B16" s="5" t="inlineStr">
        <is>
          <t>Simran Kaur</t>
        </is>
      </c>
      <c r="C16" s="4" t="n">
        <v>5</v>
      </c>
      <c r="D16" s="5">
        <f>IFERROR(VLOOKUP(C16,$H$5:$K$10,2,FALSE),"Not Assigned")</f>
        <v/>
      </c>
      <c r="E16" s="5">
        <f>IFERROR(VLOOKUP(C16,$H$5:$K$10,4,FALSE),"-")</f>
        <v/>
      </c>
      <c r="F16" s="5">
        <f>_xlfn.XLOOKUP(C16,$H$5:$H$10,$J$5:$J$10,"Not Assigned")</f>
        <v/>
      </c>
    </row>
    <row r="17">
      <c r="A17" s="4" t="n">
        <v>113</v>
      </c>
      <c r="B17" s="5" t="inlineStr">
        <is>
          <t>Deepak Joshi</t>
        </is>
      </c>
      <c r="C17" s="4" t="n">
        <v>1</v>
      </c>
      <c r="D17" s="5">
        <f>IFERROR(VLOOKUP(C17,$H$5:$K$10,2,FALSE),"Not Assigned")</f>
        <v/>
      </c>
      <c r="E17" s="5">
        <f>IFERROR(VLOOKUP(C17,$H$5:$K$10,4,FALSE),"-")</f>
        <v/>
      </c>
      <c r="F17" s="5">
        <f>_xlfn.XLOOKUP(C17,$H$5:$H$10,$J$5:$J$10,"Not Assigned")</f>
        <v/>
      </c>
    </row>
    <row r="18">
      <c r="A18" s="4" t="n">
        <v>114</v>
      </c>
      <c r="B18" s="5" t="inlineStr">
        <is>
          <t>Meera Nair</t>
        </is>
      </c>
      <c r="C18" s="4" t="n">
        <v>4</v>
      </c>
      <c r="D18" s="5">
        <f>IFERROR(VLOOKUP(C18,$H$5:$K$10,2,FALSE),"Not Assigned")</f>
        <v/>
      </c>
      <c r="E18" s="5">
        <f>IFERROR(VLOOKUP(C18,$H$5:$K$10,4,FALSE),"-")</f>
        <v/>
      </c>
      <c r="F18" s="5">
        <f>_xlfn.XLOOKUP(C18,$H$5:$H$10,$J$5:$J$10,"Not Assigned")</f>
        <v/>
      </c>
    </row>
    <row r="19">
      <c r="A19" s="4" t="n">
        <v>115</v>
      </c>
      <c r="B19" s="5" t="inlineStr">
        <is>
          <t>Arjun Mehta</t>
        </is>
      </c>
      <c r="C19" s="4" t="n">
        <v>2</v>
      </c>
      <c r="D19" s="5">
        <f>IFERROR(VLOOKUP(C19,$H$5:$K$10,2,FALSE),"Not Assigned")</f>
        <v/>
      </c>
      <c r="E19" s="5">
        <f>IFERROR(VLOOKUP(C19,$H$5:$K$10,4,FALSE),"-")</f>
        <v/>
      </c>
      <c r="F19" s="5">
        <f>_xlfn.XLOOKUP(C19,$H$5:$H$10,$J$5:$J$10,"Not Assigned")</f>
        <v/>
      </c>
    </row>
    <row r="20">
      <c r="A20" s="4" t="n">
        <v>116</v>
      </c>
      <c r="B20" s="5" t="inlineStr">
        <is>
          <t>Kavya Rao</t>
        </is>
      </c>
      <c r="C20" s="4" t="n">
        <v>5</v>
      </c>
      <c r="D20" s="5">
        <f>IFERROR(VLOOKUP(C20,$H$5:$K$10,2,FALSE),"Not Assigned")</f>
        <v/>
      </c>
      <c r="E20" s="5">
        <f>IFERROR(VLOOKUP(C20,$H$5:$K$10,4,FALSE),"-")</f>
        <v/>
      </c>
      <c r="F20" s="5">
        <f>_xlfn.XLOOKUP(C20,$H$5:$H$10,$J$5:$J$10,"Not Assigned")</f>
        <v/>
      </c>
    </row>
    <row r="21">
      <c r="A21" s="4" t="n">
        <v>117</v>
      </c>
      <c r="B21" s="5" t="inlineStr">
        <is>
          <t>Sanjay Dubey</t>
        </is>
      </c>
      <c r="C21" s="4" t="n">
        <v>1</v>
      </c>
      <c r="D21" s="5">
        <f>IFERROR(VLOOKUP(C21,$H$5:$K$10,2,FALSE),"Not Assigned")</f>
        <v/>
      </c>
      <c r="E21" s="5">
        <f>IFERROR(VLOOKUP(C21,$H$5:$K$10,4,FALSE),"-")</f>
        <v/>
      </c>
      <c r="F21" s="5">
        <f>_xlfn.XLOOKUP(C21,$H$5:$H$10,$J$5:$J$10,"Not Assigned")</f>
        <v/>
      </c>
    </row>
    <row r="22">
      <c r="A22" s="4" t="n">
        <v>118</v>
      </c>
      <c r="B22" s="5" t="inlineStr">
        <is>
          <t>Ritu Agarwal</t>
        </is>
      </c>
      <c r="C22" s="4" t="n">
        <v>3</v>
      </c>
      <c r="D22" s="5">
        <f>IFERROR(VLOOKUP(C22,$H$5:$K$10,2,FALSE),"Not Assigned")</f>
        <v/>
      </c>
      <c r="E22" s="5">
        <f>IFERROR(VLOOKUP(C22,$H$5:$K$10,4,FALSE),"-")</f>
        <v/>
      </c>
      <c r="F22" s="5">
        <f>_xlfn.XLOOKUP(C22,$H$5:$H$10,$J$5:$J$10,"Not Assigned")</f>
        <v/>
      </c>
    </row>
    <row r="23">
      <c r="A23" s="4" t="n">
        <v>119</v>
      </c>
      <c r="B23" s="5" t="inlineStr">
        <is>
          <t>Manish Bajpai</t>
        </is>
      </c>
      <c r="C23" s="4" t="n">
        <v>2</v>
      </c>
      <c r="D23" s="5">
        <f>IFERROR(VLOOKUP(C23,$H$5:$K$10,2,FALSE),"Not Assigned")</f>
        <v/>
      </c>
      <c r="E23" s="5">
        <f>IFERROR(VLOOKUP(C23,$H$5:$K$10,4,FALSE),"-")</f>
        <v/>
      </c>
      <c r="F23" s="5">
        <f>_xlfn.XLOOKUP(C23,$H$5:$H$10,$J$5:$J$10,"Not Assigned")</f>
        <v/>
      </c>
    </row>
    <row r="24">
      <c r="A24" s="4" t="n">
        <v>120</v>
      </c>
      <c r="B24" s="5" t="inlineStr">
        <is>
          <t>Tanya Kapoor</t>
        </is>
      </c>
      <c r="C24" s="4" t="n"/>
      <c r="D24" s="5">
        <f>IFERROR(VLOOKUP(C24,$H$5:$K$10,2,FALSE),"Not Assigned")</f>
        <v/>
      </c>
      <c r="E24" s="5">
        <f>IFERROR(VLOOKUP(C24,$H$5:$K$10,4,FALSE),"-")</f>
        <v/>
      </c>
      <c r="F24" s="5">
        <f>_xlfn.XLOOKUP(C24,$H$5:$H$10,$J$5:$J$10,"Not Assigned")</f>
        <v/>
      </c>
    </row>
    <row r="27">
      <c r="A27" s="13" t="inlineStr">
        <is>
          <t>Where XLOOKUP is different: look-up to the LEFT (find Emp ID from a Name)</t>
        </is>
      </c>
    </row>
    <row r="28">
      <c r="A28" s="15" t="inlineStr">
        <is>
          <t>Search name:</t>
        </is>
      </c>
      <c r="B28" s="20" t="inlineStr">
        <is>
          <t>Rohan Gupta</t>
        </is>
      </c>
    </row>
    <row r="29">
      <c r="A29" s="15" t="inlineStr">
        <is>
          <t>VLOOKUP result:</t>
        </is>
      </c>
      <c r="B29" s="13">
        <f>IFERROR(VLOOKUP(B28,A5:B24,1,FALSE),"Not found - VLOOKUP cannot look left")</f>
        <v/>
      </c>
      <c r="D29" s="2" t="inlineStr">
        <is>
          <t>VLOOKUP always searches the FIRST column of the range, so Name -&gt; Emp ID (a column to its left) is impossible.</t>
        </is>
      </c>
    </row>
    <row r="30">
      <c r="A30" s="15" t="inlineStr">
        <is>
          <t>XLOOKUP result:</t>
        </is>
      </c>
      <c r="B30" s="13">
        <f>_xlfn.XLOOKUP(B28,B5:B24,A5:A24,"Not found")</f>
        <v/>
      </c>
      <c r="D30" s="2" t="inlineStr">
        <is>
          <t>XLOOKUP takes separate lookup and return arrays, so it can return from any side.</t>
        </is>
      </c>
    </row>
    <row r="32" ht="24" customHeight="1">
      <c r="A32" s="3" t="inlineStr">
        <is>
          <t>Feature</t>
        </is>
      </c>
      <c r="B32" s="3" t="inlineStr">
        <is>
          <t>VLOOKUP</t>
        </is>
      </c>
      <c r="C32" s="3" t="inlineStr">
        <is>
          <t>XLOOKUP</t>
        </is>
      </c>
    </row>
    <row r="33">
      <c r="A33" s="21" t="inlineStr">
        <is>
          <t>Syntax</t>
        </is>
      </c>
      <c r="B33" s="21" t="inlineStr">
        <is>
          <t>VLOOKUP(value, table, col_index, FALSE)</t>
        </is>
      </c>
      <c r="C33" s="21" t="inlineStr">
        <is>
          <t>XLOOKUP(value, lookup_array, return_array, [not_found])</t>
        </is>
      </c>
    </row>
    <row r="34">
      <c r="A34" s="21" t="inlineStr">
        <is>
          <t>Look left?</t>
        </is>
      </c>
      <c r="B34" s="21" t="inlineStr">
        <is>
          <t>No</t>
        </is>
      </c>
      <c r="C34" s="21" t="inlineStr">
        <is>
          <t>Yes</t>
        </is>
      </c>
    </row>
    <row r="35">
      <c r="A35" s="21" t="inlineStr">
        <is>
          <t>Default match</t>
        </is>
      </c>
      <c r="B35" s="21" t="inlineStr">
        <is>
          <t>Approximate (needs FALSE)</t>
        </is>
      </c>
      <c r="C35" s="21" t="inlineStr">
        <is>
          <t>Exact</t>
        </is>
      </c>
    </row>
    <row r="36">
      <c r="A36" s="21" t="inlineStr">
        <is>
          <t>Column insert breaks it?</t>
        </is>
      </c>
      <c r="B36" s="21" t="inlineStr">
        <is>
          <t>Yes (col_index number)</t>
        </is>
      </c>
      <c r="C36" s="21" t="inlineStr">
        <is>
          <t>No (direct range)</t>
        </is>
      </c>
    </row>
    <row r="37">
      <c r="A37" s="21" t="inlineStr">
        <is>
          <t>Not-found message</t>
        </is>
      </c>
      <c r="B37" s="21" t="inlineStr">
        <is>
          <t>Needs IFERROR wrapper</t>
        </is>
      </c>
      <c r="C37" s="21" t="inlineStr">
        <is>
          <t>Built-in 4th argument</t>
        </is>
      </c>
    </row>
    <row r="38">
      <c r="A38" s="21" t="inlineStr">
        <is>
          <t>Availability</t>
        </is>
      </c>
      <c r="B38" s="21" t="inlineStr">
        <is>
          <t>All Excel versions</t>
        </is>
      </c>
      <c r="C38" s="21" t="inlineStr">
        <is>
          <t>Excel 2021 / Microsoft 365</t>
        </is>
      </c>
    </row>
  </sheetData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14" customWidth="1" min="4" max="4"/>
    <col width="15" customWidth="1" min="5" max="5"/>
    <col width="10" customWidth="1" min="6" max="6"/>
    <col width="16" customWidth="1" min="7" max="7"/>
    <col width="16" customWidth="1" min="8" max="8"/>
  </cols>
  <sheetData>
    <row r="1">
      <c r="A1" s="1" t="inlineStr">
        <is>
          <t>Task 9 - Sales Transactions (source data for the Pivot Table)</t>
        </is>
      </c>
    </row>
    <row r="3" ht="24" customHeight="1">
      <c r="A3" s="3" t="inlineStr">
        <is>
          <t>Order ID</t>
        </is>
      </c>
      <c r="B3" s="3" t="inlineStr">
        <is>
          <t>Date</t>
        </is>
      </c>
      <c r="C3" s="3" t="inlineStr">
        <is>
          <t>Region</t>
        </is>
      </c>
      <c r="D3" s="3" t="inlineStr">
        <is>
          <t>Category</t>
        </is>
      </c>
      <c r="E3" s="3" t="inlineStr">
        <is>
          <t>Product</t>
        </is>
      </c>
      <c r="F3" s="3" t="inlineStr">
        <is>
          <t>Quantity</t>
        </is>
      </c>
      <c r="G3" s="3" t="inlineStr">
        <is>
          <t>Unit Price (INR)</t>
        </is>
      </c>
      <c r="H3" s="3" t="inlineStr">
        <is>
          <t>Revenue (INR)</t>
        </is>
      </c>
    </row>
    <row r="4">
      <c r="A4" s="5" t="inlineStr">
        <is>
          <t>ORD1001</t>
        </is>
      </c>
      <c r="B4" s="22" t="n">
        <v>46093</v>
      </c>
      <c r="C4" s="5" t="inlineStr">
        <is>
          <t>South</t>
        </is>
      </c>
      <c r="D4" s="5" t="inlineStr">
        <is>
          <t>Accessories</t>
        </is>
      </c>
      <c r="E4" s="5" t="inlineStr">
        <is>
          <t>Headphones</t>
        </is>
      </c>
      <c r="F4" s="5" t="n">
        <v>5</v>
      </c>
      <c r="G4" s="12" t="n">
        <v>1800</v>
      </c>
      <c r="H4" s="12">
        <f>F4*G4</f>
        <v/>
      </c>
    </row>
    <row r="5">
      <c r="A5" s="5" t="inlineStr">
        <is>
          <t>ORD1002</t>
        </is>
      </c>
      <c r="B5" s="22" t="n">
        <v>46196</v>
      </c>
      <c r="C5" s="5" t="inlineStr">
        <is>
          <t>West</t>
        </is>
      </c>
      <c r="D5" s="5" t="inlineStr">
        <is>
          <t>Electronics</t>
        </is>
      </c>
      <c r="E5" s="5" t="inlineStr">
        <is>
          <t>Laptop</t>
        </is>
      </c>
      <c r="F5" s="5" t="n">
        <v>1</v>
      </c>
      <c r="G5" s="12" t="n">
        <v>55000</v>
      </c>
      <c r="H5" s="12">
        <f>F5*G5</f>
        <v/>
      </c>
    </row>
    <row r="6">
      <c r="A6" s="5" t="inlineStr">
        <is>
          <t>ORD1003</t>
        </is>
      </c>
      <c r="B6" s="22" t="n">
        <v>46078</v>
      </c>
      <c r="C6" s="5" t="inlineStr">
        <is>
          <t>North</t>
        </is>
      </c>
      <c r="D6" s="5" t="inlineStr">
        <is>
          <t>Electronics</t>
        </is>
      </c>
      <c r="E6" s="5" t="inlineStr">
        <is>
          <t>Laptop</t>
        </is>
      </c>
      <c r="F6" s="5" t="n">
        <v>2</v>
      </c>
      <c r="G6" s="12" t="n">
        <v>55000</v>
      </c>
      <c r="H6" s="12">
        <f>F6*G6</f>
        <v/>
      </c>
    </row>
    <row r="7">
      <c r="A7" s="5" t="inlineStr">
        <is>
          <t>ORD1004</t>
        </is>
      </c>
      <c r="B7" s="22" t="n">
        <v>46189</v>
      </c>
      <c r="C7" s="5" t="inlineStr">
        <is>
          <t>West</t>
        </is>
      </c>
      <c r="D7" s="5" t="inlineStr">
        <is>
          <t>Accessories</t>
        </is>
      </c>
      <c r="E7" s="5" t="inlineStr">
        <is>
          <t>Mouse</t>
        </is>
      </c>
      <c r="F7" s="5" t="n">
        <v>10</v>
      </c>
      <c r="G7" s="12" t="n">
        <v>700</v>
      </c>
      <c r="H7" s="12">
        <f>F7*G7</f>
        <v/>
      </c>
    </row>
    <row r="8">
      <c r="A8" s="5" t="inlineStr">
        <is>
          <t>ORD1005</t>
        </is>
      </c>
      <c r="B8" s="22" t="n">
        <v>46094</v>
      </c>
      <c r="C8" s="5" t="inlineStr">
        <is>
          <t>South</t>
        </is>
      </c>
      <c r="D8" s="5" t="inlineStr">
        <is>
          <t>Electronics</t>
        </is>
      </c>
      <c r="E8" s="5" t="inlineStr">
        <is>
          <t>Monitor</t>
        </is>
      </c>
      <c r="F8" s="5" t="n">
        <v>1</v>
      </c>
      <c r="G8" s="12" t="n">
        <v>14000</v>
      </c>
      <c r="H8" s="12">
        <f>F8*G8</f>
        <v/>
      </c>
    </row>
    <row r="9">
      <c r="A9" s="5" t="inlineStr">
        <is>
          <t>ORD1006</t>
        </is>
      </c>
      <c r="B9" s="22" t="n">
        <v>46094</v>
      </c>
      <c r="C9" s="5" t="inlineStr">
        <is>
          <t>South</t>
        </is>
      </c>
      <c r="D9" s="5" t="inlineStr">
        <is>
          <t>Accessories</t>
        </is>
      </c>
      <c r="E9" s="5" t="inlineStr">
        <is>
          <t>Keyboard</t>
        </is>
      </c>
      <c r="F9" s="5" t="n">
        <v>4</v>
      </c>
      <c r="G9" s="12" t="n">
        <v>1200</v>
      </c>
      <c r="H9" s="12">
        <f>F9*G9</f>
        <v/>
      </c>
    </row>
    <row r="10">
      <c r="A10" s="5" t="inlineStr">
        <is>
          <t>ORD1007</t>
        </is>
      </c>
      <c r="B10" s="22" t="n">
        <v>46049</v>
      </c>
      <c r="C10" s="5" t="inlineStr">
        <is>
          <t>West</t>
        </is>
      </c>
      <c r="D10" s="5" t="inlineStr">
        <is>
          <t>Furniture</t>
        </is>
      </c>
      <c r="E10" s="5" t="inlineStr">
        <is>
          <t>Desk</t>
        </is>
      </c>
      <c r="F10" s="5" t="n">
        <v>1</v>
      </c>
      <c r="G10" s="12" t="n">
        <v>12000</v>
      </c>
      <c r="H10" s="12">
        <f>F10*G10</f>
        <v/>
      </c>
    </row>
    <row r="11">
      <c r="A11" s="5" t="inlineStr">
        <is>
          <t>ORD1008</t>
        </is>
      </c>
      <c r="B11" s="22" t="n">
        <v>46177</v>
      </c>
      <c r="C11" s="5" t="inlineStr">
        <is>
          <t>North</t>
        </is>
      </c>
      <c r="D11" s="5" t="inlineStr">
        <is>
          <t>Electronics</t>
        </is>
      </c>
      <c r="E11" s="5" t="inlineStr">
        <is>
          <t>Smartphone</t>
        </is>
      </c>
      <c r="F11" s="5" t="n">
        <v>3</v>
      </c>
      <c r="G11" s="12" t="n">
        <v>22000</v>
      </c>
      <c r="H11" s="12">
        <f>F11*G11</f>
        <v/>
      </c>
    </row>
    <row r="12">
      <c r="A12" s="5" t="inlineStr">
        <is>
          <t>ORD1009</t>
        </is>
      </c>
      <c r="B12" s="22" t="n">
        <v>46054</v>
      </c>
      <c r="C12" s="5" t="inlineStr">
        <is>
          <t>North</t>
        </is>
      </c>
      <c r="D12" s="5" t="inlineStr">
        <is>
          <t>Accessories</t>
        </is>
      </c>
      <c r="E12" s="5" t="inlineStr">
        <is>
          <t>Mouse</t>
        </is>
      </c>
      <c r="F12" s="5" t="n">
        <v>8</v>
      </c>
      <c r="G12" s="12" t="n">
        <v>700</v>
      </c>
      <c r="H12" s="12">
        <f>F12*G12</f>
        <v/>
      </c>
    </row>
    <row r="13">
      <c r="A13" s="5" t="inlineStr">
        <is>
          <t>ORD1010</t>
        </is>
      </c>
      <c r="B13" s="22" t="n">
        <v>46181</v>
      </c>
      <c r="C13" s="5" t="inlineStr">
        <is>
          <t>South</t>
        </is>
      </c>
      <c r="D13" s="5" t="inlineStr">
        <is>
          <t>Accessories</t>
        </is>
      </c>
      <c r="E13" s="5" t="inlineStr">
        <is>
          <t>Mouse</t>
        </is>
      </c>
      <c r="F13" s="5" t="n">
        <v>7</v>
      </c>
      <c r="G13" s="12" t="n">
        <v>700</v>
      </c>
      <c r="H13" s="12">
        <f>F13*G13</f>
        <v/>
      </c>
    </row>
    <row r="14">
      <c r="A14" s="5" t="inlineStr">
        <is>
          <t>ORD1011</t>
        </is>
      </c>
      <c r="B14" s="22" t="n">
        <v>46192</v>
      </c>
      <c r="C14" s="5" t="inlineStr">
        <is>
          <t>East</t>
        </is>
      </c>
      <c r="D14" s="5" t="inlineStr">
        <is>
          <t>Accessories</t>
        </is>
      </c>
      <c r="E14" s="5" t="inlineStr">
        <is>
          <t>Headphones</t>
        </is>
      </c>
      <c r="F14" s="5" t="n">
        <v>5</v>
      </c>
      <c r="G14" s="12" t="n">
        <v>1800</v>
      </c>
      <c r="H14" s="12">
        <f>F14*G14</f>
        <v/>
      </c>
    </row>
    <row r="15">
      <c r="A15" s="5" t="inlineStr">
        <is>
          <t>ORD1012</t>
        </is>
      </c>
      <c r="B15" s="22" t="n">
        <v>46048</v>
      </c>
      <c r="C15" s="5" t="inlineStr">
        <is>
          <t>East</t>
        </is>
      </c>
      <c r="D15" s="5" t="inlineStr">
        <is>
          <t>Furniture</t>
        </is>
      </c>
      <c r="E15" s="5" t="inlineStr">
        <is>
          <t>Office Chair</t>
        </is>
      </c>
      <c r="F15" s="5" t="n">
        <v>4</v>
      </c>
      <c r="G15" s="12" t="n">
        <v>7500</v>
      </c>
      <c r="H15" s="12">
        <f>F15*G15</f>
        <v/>
      </c>
    </row>
    <row r="16">
      <c r="A16" s="5" t="inlineStr">
        <is>
          <t>ORD1013</t>
        </is>
      </c>
      <c r="B16" s="22" t="n">
        <v>46064</v>
      </c>
      <c r="C16" s="5" t="inlineStr">
        <is>
          <t>East</t>
        </is>
      </c>
      <c r="D16" s="5" t="inlineStr">
        <is>
          <t>Accessories</t>
        </is>
      </c>
      <c r="E16" s="5" t="inlineStr">
        <is>
          <t>Keyboard</t>
        </is>
      </c>
      <c r="F16" s="5" t="n">
        <v>7</v>
      </c>
      <c r="G16" s="12" t="n">
        <v>1200</v>
      </c>
      <c r="H16" s="12">
        <f>F16*G16</f>
        <v/>
      </c>
    </row>
    <row r="17">
      <c r="A17" s="5" t="inlineStr">
        <is>
          <t>ORD1014</t>
        </is>
      </c>
      <c r="B17" s="22" t="n">
        <v>46202</v>
      </c>
      <c r="C17" s="5" t="inlineStr">
        <is>
          <t>South</t>
        </is>
      </c>
      <c r="D17" s="5" t="inlineStr">
        <is>
          <t>Electronics</t>
        </is>
      </c>
      <c r="E17" s="5" t="inlineStr">
        <is>
          <t>Smartphone</t>
        </is>
      </c>
      <c r="F17" s="5" t="n">
        <v>1</v>
      </c>
      <c r="G17" s="12" t="n">
        <v>22000</v>
      </c>
      <c r="H17" s="12">
        <f>F17*G17</f>
        <v/>
      </c>
    </row>
    <row r="18">
      <c r="A18" s="5" t="inlineStr">
        <is>
          <t>ORD1015</t>
        </is>
      </c>
      <c r="B18" s="22" t="n">
        <v>46064</v>
      </c>
      <c r="C18" s="5" t="inlineStr">
        <is>
          <t>West</t>
        </is>
      </c>
      <c r="D18" s="5" t="inlineStr">
        <is>
          <t>Accessories</t>
        </is>
      </c>
      <c r="E18" s="5" t="inlineStr">
        <is>
          <t>Headphones</t>
        </is>
      </c>
      <c r="F18" s="5" t="n">
        <v>9</v>
      </c>
      <c r="G18" s="12" t="n">
        <v>1800</v>
      </c>
      <c r="H18" s="12">
        <f>F18*G18</f>
        <v/>
      </c>
    </row>
    <row r="19">
      <c r="A19" s="5" t="inlineStr">
        <is>
          <t>ORD1016</t>
        </is>
      </c>
      <c r="B19" s="22" t="n">
        <v>46199</v>
      </c>
      <c r="C19" s="5" t="inlineStr">
        <is>
          <t>East</t>
        </is>
      </c>
      <c r="D19" s="5" t="inlineStr">
        <is>
          <t>Electronics</t>
        </is>
      </c>
      <c r="E19" s="5" t="inlineStr">
        <is>
          <t>Monitor</t>
        </is>
      </c>
      <c r="F19" s="5" t="n">
        <v>2</v>
      </c>
      <c r="G19" s="12" t="n">
        <v>14000</v>
      </c>
      <c r="H19" s="12">
        <f>F19*G19</f>
        <v/>
      </c>
    </row>
    <row r="20">
      <c r="A20" s="5" t="inlineStr">
        <is>
          <t>ORD1017</t>
        </is>
      </c>
      <c r="B20" s="22" t="n">
        <v>46081</v>
      </c>
      <c r="C20" s="5" t="inlineStr">
        <is>
          <t>East</t>
        </is>
      </c>
      <c r="D20" s="5" t="inlineStr">
        <is>
          <t>Furniture</t>
        </is>
      </c>
      <c r="E20" s="5" t="inlineStr">
        <is>
          <t>Office Chair</t>
        </is>
      </c>
      <c r="F20" s="5" t="n">
        <v>1</v>
      </c>
      <c r="G20" s="12" t="n">
        <v>7500</v>
      </c>
      <c r="H20" s="12">
        <f>F20*G20</f>
        <v/>
      </c>
    </row>
    <row r="21">
      <c r="A21" s="5" t="inlineStr">
        <is>
          <t>ORD1018</t>
        </is>
      </c>
      <c r="B21" s="22" t="n">
        <v>46077</v>
      </c>
      <c r="C21" s="5" t="inlineStr">
        <is>
          <t>South</t>
        </is>
      </c>
      <c r="D21" s="5" t="inlineStr">
        <is>
          <t>Accessories</t>
        </is>
      </c>
      <c r="E21" s="5" t="inlineStr">
        <is>
          <t>Headphones</t>
        </is>
      </c>
      <c r="F21" s="5" t="n">
        <v>7</v>
      </c>
      <c r="G21" s="12" t="n">
        <v>1800</v>
      </c>
      <c r="H21" s="12">
        <f>F21*G21</f>
        <v/>
      </c>
    </row>
    <row r="22">
      <c r="A22" s="5" t="inlineStr">
        <is>
          <t>ORD1019</t>
        </is>
      </c>
      <c r="B22" s="22" t="n">
        <v>46187</v>
      </c>
      <c r="C22" s="5" t="inlineStr">
        <is>
          <t>South</t>
        </is>
      </c>
      <c r="D22" s="5" t="inlineStr">
        <is>
          <t>Accessories</t>
        </is>
      </c>
      <c r="E22" s="5" t="inlineStr">
        <is>
          <t>Keyboard</t>
        </is>
      </c>
      <c r="F22" s="5" t="n">
        <v>9</v>
      </c>
      <c r="G22" s="12" t="n">
        <v>1200</v>
      </c>
      <c r="H22" s="12">
        <f>F22*G22</f>
        <v/>
      </c>
    </row>
    <row r="23">
      <c r="A23" s="5" t="inlineStr">
        <is>
          <t>ORD1020</t>
        </is>
      </c>
      <c r="B23" s="22" t="n">
        <v>46166</v>
      </c>
      <c r="C23" s="5" t="inlineStr">
        <is>
          <t>West</t>
        </is>
      </c>
      <c r="D23" s="5" t="inlineStr">
        <is>
          <t>Electronics</t>
        </is>
      </c>
      <c r="E23" s="5" t="inlineStr">
        <is>
          <t>Laptop</t>
        </is>
      </c>
      <c r="F23" s="5" t="n">
        <v>3</v>
      </c>
      <c r="G23" s="12" t="n">
        <v>55000</v>
      </c>
      <c r="H23" s="12">
        <f>F23*G23</f>
        <v/>
      </c>
    </row>
    <row r="24">
      <c r="A24" s="5" t="inlineStr">
        <is>
          <t>ORD1021</t>
        </is>
      </c>
      <c r="B24" s="22" t="n">
        <v>46115</v>
      </c>
      <c r="C24" s="5" t="inlineStr">
        <is>
          <t>South</t>
        </is>
      </c>
      <c r="D24" s="5" t="inlineStr">
        <is>
          <t>Furniture</t>
        </is>
      </c>
      <c r="E24" s="5" t="inlineStr">
        <is>
          <t>Desk</t>
        </is>
      </c>
      <c r="F24" s="5" t="n">
        <v>2</v>
      </c>
      <c r="G24" s="12" t="n">
        <v>12000</v>
      </c>
      <c r="H24" s="12">
        <f>F24*G24</f>
        <v/>
      </c>
    </row>
    <row r="25">
      <c r="A25" s="5" t="inlineStr">
        <is>
          <t>ORD1022</t>
        </is>
      </c>
      <c r="B25" s="22" t="n">
        <v>46035</v>
      </c>
      <c r="C25" s="5" t="inlineStr">
        <is>
          <t>South</t>
        </is>
      </c>
      <c r="D25" s="5" t="inlineStr">
        <is>
          <t>Accessories</t>
        </is>
      </c>
      <c r="E25" s="5" t="inlineStr">
        <is>
          <t>Headphones</t>
        </is>
      </c>
      <c r="F25" s="5" t="n">
        <v>3</v>
      </c>
      <c r="G25" s="12" t="n">
        <v>1800</v>
      </c>
      <c r="H25" s="12">
        <f>F25*G25</f>
        <v/>
      </c>
    </row>
    <row r="26">
      <c r="A26" s="5" t="inlineStr">
        <is>
          <t>ORD1023</t>
        </is>
      </c>
      <c r="B26" s="22" t="n">
        <v>46131</v>
      </c>
      <c r="C26" s="5" t="inlineStr">
        <is>
          <t>West</t>
        </is>
      </c>
      <c r="D26" s="5" t="inlineStr">
        <is>
          <t>Accessories</t>
        </is>
      </c>
      <c r="E26" s="5" t="inlineStr">
        <is>
          <t>Mouse</t>
        </is>
      </c>
      <c r="F26" s="5" t="n">
        <v>3</v>
      </c>
      <c r="G26" s="12" t="n">
        <v>700</v>
      </c>
      <c r="H26" s="12">
        <f>F26*G26</f>
        <v/>
      </c>
    </row>
    <row r="27">
      <c r="A27" s="5" t="inlineStr">
        <is>
          <t>ORD1024</t>
        </is>
      </c>
      <c r="B27" s="22" t="n">
        <v>46158</v>
      </c>
      <c r="C27" s="5" t="inlineStr">
        <is>
          <t>North</t>
        </is>
      </c>
      <c r="D27" s="5" t="inlineStr">
        <is>
          <t>Accessories</t>
        </is>
      </c>
      <c r="E27" s="5" t="inlineStr">
        <is>
          <t>Keyboard</t>
        </is>
      </c>
      <c r="F27" s="5" t="n">
        <v>6</v>
      </c>
      <c r="G27" s="12" t="n">
        <v>1200</v>
      </c>
      <c r="H27" s="12">
        <f>F27*G27</f>
        <v/>
      </c>
    </row>
    <row r="28">
      <c r="A28" s="5" t="inlineStr">
        <is>
          <t>ORD1025</t>
        </is>
      </c>
      <c r="B28" s="22" t="n">
        <v>46197</v>
      </c>
      <c r="C28" s="5" t="inlineStr">
        <is>
          <t>East</t>
        </is>
      </c>
      <c r="D28" s="5" t="inlineStr">
        <is>
          <t>Accessories</t>
        </is>
      </c>
      <c r="E28" s="5" t="inlineStr">
        <is>
          <t>Headphones</t>
        </is>
      </c>
      <c r="F28" s="5" t="n">
        <v>10</v>
      </c>
      <c r="G28" s="12" t="n">
        <v>1800</v>
      </c>
      <c r="H28" s="12">
        <f>F28*G28</f>
        <v/>
      </c>
    </row>
    <row r="29">
      <c r="A29" s="5" t="inlineStr">
        <is>
          <t>ORD1026</t>
        </is>
      </c>
      <c r="B29" s="22" t="n">
        <v>46051</v>
      </c>
      <c r="C29" s="5" t="inlineStr">
        <is>
          <t>West</t>
        </is>
      </c>
      <c r="D29" s="5" t="inlineStr">
        <is>
          <t>Accessories</t>
        </is>
      </c>
      <c r="E29" s="5" t="inlineStr">
        <is>
          <t>Keyboard</t>
        </is>
      </c>
      <c r="F29" s="5" t="n">
        <v>6</v>
      </c>
      <c r="G29" s="12" t="n">
        <v>1200</v>
      </c>
      <c r="H29" s="12">
        <f>F29*G29</f>
        <v/>
      </c>
    </row>
    <row r="30">
      <c r="A30" s="5" t="inlineStr">
        <is>
          <t>ORD1027</t>
        </is>
      </c>
      <c r="B30" s="22" t="n">
        <v>46090</v>
      </c>
      <c r="C30" s="5" t="inlineStr">
        <is>
          <t>North</t>
        </is>
      </c>
      <c r="D30" s="5" t="inlineStr">
        <is>
          <t>Electronics</t>
        </is>
      </c>
      <c r="E30" s="5" t="inlineStr">
        <is>
          <t>Laptop</t>
        </is>
      </c>
      <c r="F30" s="5" t="n">
        <v>2</v>
      </c>
      <c r="G30" s="12" t="n">
        <v>55000</v>
      </c>
      <c r="H30" s="12">
        <f>F30*G30</f>
        <v/>
      </c>
    </row>
    <row r="31">
      <c r="A31" s="5" t="inlineStr">
        <is>
          <t>ORD1028</t>
        </is>
      </c>
      <c r="B31" s="22" t="n">
        <v>46186</v>
      </c>
      <c r="C31" s="5" t="inlineStr">
        <is>
          <t>South</t>
        </is>
      </c>
      <c r="D31" s="5" t="inlineStr">
        <is>
          <t>Furniture</t>
        </is>
      </c>
      <c r="E31" s="5" t="inlineStr">
        <is>
          <t>Desk</t>
        </is>
      </c>
      <c r="F31" s="5" t="n">
        <v>2</v>
      </c>
      <c r="G31" s="12" t="n">
        <v>12000</v>
      </c>
      <c r="H31" s="12">
        <f>F31*G31</f>
        <v/>
      </c>
    </row>
    <row r="32">
      <c r="A32" s="5" t="inlineStr">
        <is>
          <t>ORD1029</t>
        </is>
      </c>
      <c r="B32" s="22" t="n">
        <v>46161</v>
      </c>
      <c r="C32" s="5" t="inlineStr">
        <is>
          <t>North</t>
        </is>
      </c>
      <c r="D32" s="5" t="inlineStr">
        <is>
          <t>Accessories</t>
        </is>
      </c>
      <c r="E32" s="5" t="inlineStr">
        <is>
          <t>Headphones</t>
        </is>
      </c>
      <c r="F32" s="5" t="n">
        <v>10</v>
      </c>
      <c r="G32" s="12" t="n">
        <v>1800</v>
      </c>
      <c r="H32" s="12">
        <f>F32*G32</f>
        <v/>
      </c>
    </row>
    <row r="33">
      <c r="A33" s="5" t="inlineStr">
        <is>
          <t>ORD1030</t>
        </is>
      </c>
      <c r="B33" s="22" t="n">
        <v>46027</v>
      </c>
      <c r="C33" s="5" t="inlineStr">
        <is>
          <t>East</t>
        </is>
      </c>
      <c r="D33" s="5" t="inlineStr">
        <is>
          <t>Accessories</t>
        </is>
      </c>
      <c r="E33" s="5" t="inlineStr">
        <is>
          <t>Keyboard</t>
        </is>
      </c>
      <c r="F33" s="5" t="n">
        <v>3</v>
      </c>
      <c r="G33" s="12" t="n">
        <v>1200</v>
      </c>
      <c r="H33" s="12">
        <f>F33*G33</f>
        <v/>
      </c>
    </row>
    <row r="34">
      <c r="A34" s="5" t="inlineStr">
        <is>
          <t>ORD1031</t>
        </is>
      </c>
      <c r="B34" s="22" t="n">
        <v>46084</v>
      </c>
      <c r="C34" s="5" t="inlineStr">
        <is>
          <t>South</t>
        </is>
      </c>
      <c r="D34" s="5" t="inlineStr">
        <is>
          <t>Furniture</t>
        </is>
      </c>
      <c r="E34" s="5" t="inlineStr">
        <is>
          <t>Desk</t>
        </is>
      </c>
      <c r="F34" s="5" t="n">
        <v>1</v>
      </c>
      <c r="G34" s="12" t="n">
        <v>12000</v>
      </c>
      <c r="H34" s="12">
        <f>F34*G34</f>
        <v/>
      </c>
    </row>
    <row r="35">
      <c r="A35" s="5" t="inlineStr">
        <is>
          <t>ORD1032</t>
        </is>
      </c>
      <c r="B35" s="22" t="n">
        <v>46044</v>
      </c>
      <c r="C35" s="5" t="inlineStr">
        <is>
          <t>North</t>
        </is>
      </c>
      <c r="D35" s="5" t="inlineStr">
        <is>
          <t>Furniture</t>
        </is>
      </c>
      <c r="E35" s="5" t="inlineStr">
        <is>
          <t>Office Chair</t>
        </is>
      </c>
      <c r="F35" s="5" t="n">
        <v>4</v>
      </c>
      <c r="G35" s="12" t="n">
        <v>7500</v>
      </c>
      <c r="H35" s="12">
        <f>F35*G35</f>
        <v/>
      </c>
    </row>
    <row r="36">
      <c r="A36" s="5" t="inlineStr">
        <is>
          <t>ORD1033</t>
        </is>
      </c>
      <c r="B36" s="22" t="n">
        <v>46055</v>
      </c>
      <c r="C36" s="5" t="inlineStr">
        <is>
          <t>South</t>
        </is>
      </c>
      <c r="D36" s="5" t="inlineStr">
        <is>
          <t>Furniture</t>
        </is>
      </c>
      <c r="E36" s="5" t="inlineStr">
        <is>
          <t>Office Chair</t>
        </is>
      </c>
      <c r="F36" s="5" t="n">
        <v>4</v>
      </c>
      <c r="G36" s="12" t="n">
        <v>7500</v>
      </c>
      <c r="H36" s="12">
        <f>F36*G36</f>
        <v/>
      </c>
    </row>
    <row r="37">
      <c r="A37" s="5" t="inlineStr">
        <is>
          <t>ORD1034</t>
        </is>
      </c>
      <c r="B37" s="22" t="n">
        <v>46131</v>
      </c>
      <c r="C37" s="5" t="inlineStr">
        <is>
          <t>South</t>
        </is>
      </c>
      <c r="D37" s="5" t="inlineStr">
        <is>
          <t>Electronics</t>
        </is>
      </c>
      <c r="E37" s="5" t="inlineStr">
        <is>
          <t>Monitor</t>
        </is>
      </c>
      <c r="F37" s="5" t="n">
        <v>2</v>
      </c>
      <c r="G37" s="12" t="n">
        <v>14000</v>
      </c>
      <c r="H37" s="12">
        <f>F37*G37</f>
        <v/>
      </c>
    </row>
    <row r="38">
      <c r="A38" s="5" t="inlineStr">
        <is>
          <t>ORD1035</t>
        </is>
      </c>
      <c r="B38" s="22" t="n">
        <v>46194</v>
      </c>
      <c r="C38" s="5" t="inlineStr">
        <is>
          <t>West</t>
        </is>
      </c>
      <c r="D38" s="5" t="inlineStr">
        <is>
          <t>Accessories</t>
        </is>
      </c>
      <c r="E38" s="5" t="inlineStr">
        <is>
          <t>Keyboard</t>
        </is>
      </c>
      <c r="F38" s="5" t="n">
        <v>7</v>
      </c>
      <c r="G38" s="12" t="n">
        <v>1200</v>
      </c>
      <c r="H38" s="12">
        <f>F38*G38</f>
        <v/>
      </c>
    </row>
    <row r="39">
      <c r="A39" s="5" t="inlineStr">
        <is>
          <t>ORD1036</t>
        </is>
      </c>
      <c r="B39" s="22" t="n">
        <v>46053</v>
      </c>
      <c r="C39" s="5" t="inlineStr">
        <is>
          <t>South</t>
        </is>
      </c>
      <c r="D39" s="5" t="inlineStr">
        <is>
          <t>Furniture</t>
        </is>
      </c>
      <c r="E39" s="5" t="inlineStr">
        <is>
          <t>Desk</t>
        </is>
      </c>
      <c r="F39" s="5" t="n">
        <v>2</v>
      </c>
      <c r="G39" s="12" t="n">
        <v>12000</v>
      </c>
      <c r="H39" s="12">
        <f>F39*G39</f>
        <v/>
      </c>
    </row>
    <row r="40">
      <c r="A40" s="5" t="inlineStr">
        <is>
          <t>ORD1037</t>
        </is>
      </c>
      <c r="B40" s="22" t="n">
        <v>46173</v>
      </c>
      <c r="C40" s="5" t="inlineStr">
        <is>
          <t>South</t>
        </is>
      </c>
      <c r="D40" s="5" t="inlineStr">
        <is>
          <t>Electronics</t>
        </is>
      </c>
      <c r="E40" s="5" t="inlineStr">
        <is>
          <t>Laptop</t>
        </is>
      </c>
      <c r="F40" s="5" t="n">
        <v>2</v>
      </c>
      <c r="G40" s="12" t="n">
        <v>55000</v>
      </c>
      <c r="H40" s="12">
        <f>F40*G40</f>
        <v/>
      </c>
    </row>
    <row r="41">
      <c r="A41" s="5" t="inlineStr">
        <is>
          <t>ORD1038</t>
        </is>
      </c>
      <c r="B41" s="22" t="n">
        <v>46184</v>
      </c>
      <c r="C41" s="5" t="inlineStr">
        <is>
          <t>South</t>
        </is>
      </c>
      <c r="D41" s="5" t="inlineStr">
        <is>
          <t>Electronics</t>
        </is>
      </c>
      <c r="E41" s="5" t="inlineStr">
        <is>
          <t>Monitor</t>
        </is>
      </c>
      <c r="F41" s="5" t="n">
        <v>1</v>
      </c>
      <c r="G41" s="12" t="n">
        <v>14000</v>
      </c>
      <c r="H41" s="12">
        <f>F41*G41</f>
        <v/>
      </c>
    </row>
    <row r="42">
      <c r="A42" s="5" t="inlineStr">
        <is>
          <t>ORD1039</t>
        </is>
      </c>
      <c r="B42" s="22" t="n">
        <v>46107</v>
      </c>
      <c r="C42" s="5" t="inlineStr">
        <is>
          <t>South</t>
        </is>
      </c>
      <c r="D42" s="5" t="inlineStr">
        <is>
          <t>Electronics</t>
        </is>
      </c>
      <c r="E42" s="5" t="inlineStr">
        <is>
          <t>Laptop</t>
        </is>
      </c>
      <c r="F42" s="5" t="n">
        <v>1</v>
      </c>
      <c r="G42" s="12" t="n">
        <v>55000</v>
      </c>
      <c r="H42" s="12">
        <f>F42*G42</f>
        <v/>
      </c>
    </row>
    <row r="43">
      <c r="A43" s="5" t="inlineStr">
        <is>
          <t>ORD1040</t>
        </is>
      </c>
      <c r="B43" s="22" t="n">
        <v>46077</v>
      </c>
      <c r="C43" s="5" t="inlineStr">
        <is>
          <t>West</t>
        </is>
      </c>
      <c r="D43" s="5" t="inlineStr">
        <is>
          <t>Electronics</t>
        </is>
      </c>
      <c r="E43" s="5" t="inlineStr">
        <is>
          <t>Smartphone</t>
        </is>
      </c>
      <c r="F43" s="5" t="n">
        <v>2</v>
      </c>
      <c r="G43" s="12" t="n">
        <v>22000</v>
      </c>
      <c r="H43" s="12">
        <f>F43*G43</f>
        <v/>
      </c>
    </row>
    <row r="44">
      <c r="A44" s="5" t="inlineStr">
        <is>
          <t>ORD1041</t>
        </is>
      </c>
      <c r="B44" s="22" t="n">
        <v>46127</v>
      </c>
      <c r="C44" s="5" t="inlineStr">
        <is>
          <t>North</t>
        </is>
      </c>
      <c r="D44" s="5" t="inlineStr">
        <is>
          <t>Electronics</t>
        </is>
      </c>
      <c r="E44" s="5" t="inlineStr">
        <is>
          <t>Smartphone</t>
        </is>
      </c>
      <c r="F44" s="5" t="n">
        <v>2</v>
      </c>
      <c r="G44" s="12" t="n">
        <v>22000</v>
      </c>
      <c r="H44" s="12">
        <f>F44*G44</f>
        <v/>
      </c>
    </row>
    <row r="45">
      <c r="A45" s="5" t="inlineStr">
        <is>
          <t>ORD1042</t>
        </is>
      </c>
      <c r="B45" s="22" t="n">
        <v>46113</v>
      </c>
      <c r="C45" s="5" t="inlineStr">
        <is>
          <t>West</t>
        </is>
      </c>
      <c r="D45" s="5" t="inlineStr">
        <is>
          <t>Electronics</t>
        </is>
      </c>
      <c r="E45" s="5" t="inlineStr">
        <is>
          <t>Smartphone</t>
        </is>
      </c>
      <c r="F45" s="5" t="n">
        <v>4</v>
      </c>
      <c r="G45" s="12" t="n">
        <v>22000</v>
      </c>
      <c r="H45" s="12">
        <f>F45*G45</f>
        <v/>
      </c>
    </row>
    <row r="46">
      <c r="A46" s="5" t="inlineStr">
        <is>
          <t>ORD1043</t>
        </is>
      </c>
      <c r="B46" s="22" t="n">
        <v>46036</v>
      </c>
      <c r="C46" s="5" t="inlineStr">
        <is>
          <t>North</t>
        </is>
      </c>
      <c r="D46" s="5" t="inlineStr">
        <is>
          <t>Accessories</t>
        </is>
      </c>
      <c r="E46" s="5" t="inlineStr">
        <is>
          <t>Mouse</t>
        </is>
      </c>
      <c r="F46" s="5" t="n">
        <v>3</v>
      </c>
      <c r="G46" s="12" t="n">
        <v>700</v>
      </c>
      <c r="H46" s="12">
        <f>F46*G46</f>
        <v/>
      </c>
    </row>
    <row r="47">
      <c r="A47" s="5" t="inlineStr">
        <is>
          <t>ORD1044</t>
        </is>
      </c>
      <c r="B47" s="22" t="n">
        <v>46050</v>
      </c>
      <c r="C47" s="5" t="inlineStr">
        <is>
          <t>South</t>
        </is>
      </c>
      <c r="D47" s="5" t="inlineStr">
        <is>
          <t>Accessories</t>
        </is>
      </c>
      <c r="E47" s="5" t="inlineStr">
        <is>
          <t>Keyboard</t>
        </is>
      </c>
      <c r="F47" s="5" t="n">
        <v>5</v>
      </c>
      <c r="G47" s="12" t="n">
        <v>1200</v>
      </c>
      <c r="H47" s="12">
        <f>F47*G47</f>
        <v/>
      </c>
    </row>
    <row r="48">
      <c r="A48" s="5" t="inlineStr">
        <is>
          <t>ORD1045</t>
        </is>
      </c>
      <c r="B48" s="22" t="n">
        <v>46058</v>
      </c>
      <c r="C48" s="5" t="inlineStr">
        <is>
          <t>South</t>
        </is>
      </c>
      <c r="D48" s="5" t="inlineStr">
        <is>
          <t>Electronics</t>
        </is>
      </c>
      <c r="E48" s="5" t="inlineStr">
        <is>
          <t>Smartphone</t>
        </is>
      </c>
      <c r="F48" s="5" t="n">
        <v>4</v>
      </c>
      <c r="G48" s="12" t="n">
        <v>22000</v>
      </c>
      <c r="H48" s="12">
        <f>F48*G48</f>
        <v/>
      </c>
    </row>
    <row r="49">
      <c r="A49" s="5" t="inlineStr">
        <is>
          <t>ORD1046</t>
        </is>
      </c>
      <c r="B49" s="22" t="n">
        <v>46042</v>
      </c>
      <c r="C49" s="5" t="inlineStr">
        <is>
          <t>North</t>
        </is>
      </c>
      <c r="D49" s="5" t="inlineStr">
        <is>
          <t>Electronics</t>
        </is>
      </c>
      <c r="E49" s="5" t="inlineStr">
        <is>
          <t>Laptop</t>
        </is>
      </c>
      <c r="F49" s="5" t="n">
        <v>4</v>
      </c>
      <c r="G49" s="12" t="n">
        <v>55000</v>
      </c>
      <c r="H49" s="12">
        <f>F49*G49</f>
        <v/>
      </c>
    </row>
    <row r="50">
      <c r="A50" s="5" t="inlineStr">
        <is>
          <t>ORD1047</t>
        </is>
      </c>
      <c r="B50" s="22" t="n">
        <v>46026</v>
      </c>
      <c r="C50" s="5" t="inlineStr">
        <is>
          <t>South</t>
        </is>
      </c>
      <c r="D50" s="5" t="inlineStr">
        <is>
          <t>Electronics</t>
        </is>
      </c>
      <c r="E50" s="5" t="inlineStr">
        <is>
          <t>Monitor</t>
        </is>
      </c>
      <c r="F50" s="5" t="n">
        <v>1</v>
      </c>
      <c r="G50" s="12" t="n">
        <v>14000</v>
      </c>
      <c r="H50" s="12">
        <f>F50*G50</f>
        <v/>
      </c>
    </row>
    <row r="51">
      <c r="A51" s="5" t="inlineStr">
        <is>
          <t>ORD1048</t>
        </is>
      </c>
      <c r="B51" s="22" t="n">
        <v>46146</v>
      </c>
      <c r="C51" s="5" t="inlineStr">
        <is>
          <t>West</t>
        </is>
      </c>
      <c r="D51" s="5" t="inlineStr">
        <is>
          <t>Electronics</t>
        </is>
      </c>
      <c r="E51" s="5" t="inlineStr">
        <is>
          <t>Smartphone</t>
        </is>
      </c>
      <c r="F51" s="5" t="n">
        <v>2</v>
      </c>
      <c r="G51" s="12" t="n">
        <v>22000</v>
      </c>
      <c r="H51" s="12">
        <f>F51*G51</f>
        <v/>
      </c>
    </row>
    <row r="52">
      <c r="A52" s="5" t="inlineStr">
        <is>
          <t>ORD1049</t>
        </is>
      </c>
      <c r="B52" s="22" t="n">
        <v>46120</v>
      </c>
      <c r="C52" s="5" t="inlineStr">
        <is>
          <t>West</t>
        </is>
      </c>
      <c r="D52" s="5" t="inlineStr">
        <is>
          <t>Furniture</t>
        </is>
      </c>
      <c r="E52" s="5" t="inlineStr">
        <is>
          <t>Office Chair</t>
        </is>
      </c>
      <c r="F52" s="5" t="n">
        <v>1</v>
      </c>
      <c r="G52" s="12" t="n">
        <v>7500</v>
      </c>
      <c r="H52" s="12">
        <f>F52*G52</f>
        <v/>
      </c>
    </row>
    <row r="53">
      <c r="A53" s="5" t="inlineStr">
        <is>
          <t>ORD1050</t>
        </is>
      </c>
      <c r="B53" s="22" t="n">
        <v>46096</v>
      </c>
      <c r="C53" s="5" t="inlineStr">
        <is>
          <t>West</t>
        </is>
      </c>
      <c r="D53" s="5" t="inlineStr">
        <is>
          <t>Electronics</t>
        </is>
      </c>
      <c r="E53" s="5" t="inlineStr">
        <is>
          <t>Smartphone</t>
        </is>
      </c>
      <c r="F53" s="5" t="n">
        <v>4</v>
      </c>
      <c r="G53" s="12" t="n">
        <v>22000</v>
      </c>
      <c r="H53" s="12">
        <f>F53*G53</f>
        <v/>
      </c>
    </row>
    <row r="54">
      <c r="A54" s="5" t="inlineStr">
        <is>
          <t>ORD1051</t>
        </is>
      </c>
      <c r="B54" s="22" t="n">
        <v>46078</v>
      </c>
      <c r="C54" s="5" t="inlineStr">
        <is>
          <t>North</t>
        </is>
      </c>
      <c r="D54" s="5" t="inlineStr">
        <is>
          <t>Electronics</t>
        </is>
      </c>
      <c r="E54" s="5" t="inlineStr">
        <is>
          <t>Smartphone</t>
        </is>
      </c>
      <c r="F54" s="5" t="n">
        <v>1</v>
      </c>
      <c r="G54" s="12" t="n">
        <v>22000</v>
      </c>
      <c r="H54" s="12">
        <f>F54*G54</f>
        <v/>
      </c>
    </row>
    <row r="55">
      <c r="A55" s="5" t="inlineStr">
        <is>
          <t>ORD1052</t>
        </is>
      </c>
      <c r="B55" s="22" t="n">
        <v>46035</v>
      </c>
      <c r="C55" s="5" t="inlineStr">
        <is>
          <t>South</t>
        </is>
      </c>
      <c r="D55" s="5" t="inlineStr">
        <is>
          <t>Accessories</t>
        </is>
      </c>
      <c r="E55" s="5" t="inlineStr">
        <is>
          <t>Headphones</t>
        </is>
      </c>
      <c r="F55" s="5" t="n">
        <v>9</v>
      </c>
      <c r="G55" s="12" t="n">
        <v>1800</v>
      </c>
      <c r="H55" s="12">
        <f>F55*G55</f>
        <v/>
      </c>
    </row>
    <row r="56">
      <c r="A56" s="5" t="inlineStr">
        <is>
          <t>ORD1053</t>
        </is>
      </c>
      <c r="B56" s="22" t="n">
        <v>46043</v>
      </c>
      <c r="C56" s="5" t="inlineStr">
        <is>
          <t>North</t>
        </is>
      </c>
      <c r="D56" s="5" t="inlineStr">
        <is>
          <t>Electronics</t>
        </is>
      </c>
      <c r="E56" s="5" t="inlineStr">
        <is>
          <t>Monitor</t>
        </is>
      </c>
      <c r="F56" s="5" t="n">
        <v>2</v>
      </c>
      <c r="G56" s="12" t="n">
        <v>14000</v>
      </c>
      <c r="H56" s="12">
        <f>F56*G56</f>
        <v/>
      </c>
    </row>
    <row r="57">
      <c r="A57" s="5" t="inlineStr">
        <is>
          <t>ORD1054</t>
        </is>
      </c>
      <c r="B57" s="22" t="n">
        <v>46083</v>
      </c>
      <c r="C57" s="5" t="inlineStr">
        <is>
          <t>North</t>
        </is>
      </c>
      <c r="D57" s="5" t="inlineStr">
        <is>
          <t>Accessories</t>
        </is>
      </c>
      <c r="E57" s="5" t="inlineStr">
        <is>
          <t>Mouse</t>
        </is>
      </c>
      <c r="F57" s="5" t="n">
        <v>8</v>
      </c>
      <c r="G57" s="12" t="n">
        <v>700</v>
      </c>
      <c r="H57" s="12">
        <f>F57*G57</f>
        <v/>
      </c>
    </row>
    <row r="58">
      <c r="A58" s="5" t="inlineStr">
        <is>
          <t>ORD1055</t>
        </is>
      </c>
      <c r="B58" s="22" t="n">
        <v>46171</v>
      </c>
      <c r="C58" s="5" t="inlineStr">
        <is>
          <t>North</t>
        </is>
      </c>
      <c r="D58" s="5" t="inlineStr">
        <is>
          <t>Furniture</t>
        </is>
      </c>
      <c r="E58" s="5" t="inlineStr">
        <is>
          <t>Office Chair</t>
        </is>
      </c>
      <c r="F58" s="5" t="n">
        <v>1</v>
      </c>
      <c r="G58" s="12" t="n">
        <v>7500</v>
      </c>
      <c r="H58" s="12">
        <f>F58*G58</f>
        <v/>
      </c>
    </row>
    <row r="59">
      <c r="A59" s="5" t="inlineStr">
        <is>
          <t>ORD1056</t>
        </is>
      </c>
      <c r="B59" s="22" t="n">
        <v>46167</v>
      </c>
      <c r="C59" s="5" t="inlineStr">
        <is>
          <t>East</t>
        </is>
      </c>
      <c r="D59" s="5" t="inlineStr">
        <is>
          <t>Accessories</t>
        </is>
      </c>
      <c r="E59" s="5" t="inlineStr">
        <is>
          <t>Mouse</t>
        </is>
      </c>
      <c r="F59" s="5" t="n">
        <v>10</v>
      </c>
      <c r="G59" s="12" t="n">
        <v>700</v>
      </c>
      <c r="H59" s="12">
        <f>F59*G59</f>
        <v/>
      </c>
    </row>
    <row r="60">
      <c r="A60" s="5" t="inlineStr">
        <is>
          <t>ORD1057</t>
        </is>
      </c>
      <c r="B60" s="22" t="n">
        <v>46194</v>
      </c>
      <c r="C60" s="5" t="inlineStr">
        <is>
          <t>South</t>
        </is>
      </c>
      <c r="D60" s="5" t="inlineStr">
        <is>
          <t>Furniture</t>
        </is>
      </c>
      <c r="E60" s="5" t="inlineStr">
        <is>
          <t>Office Chair</t>
        </is>
      </c>
      <c r="F60" s="5" t="n">
        <v>3</v>
      </c>
      <c r="G60" s="12" t="n">
        <v>7500</v>
      </c>
      <c r="H60" s="12">
        <f>F60*G60</f>
        <v/>
      </c>
    </row>
    <row r="61">
      <c r="A61" s="5" t="inlineStr">
        <is>
          <t>ORD1058</t>
        </is>
      </c>
      <c r="B61" s="22" t="n">
        <v>46194</v>
      </c>
      <c r="C61" s="5" t="inlineStr">
        <is>
          <t>West</t>
        </is>
      </c>
      <c r="D61" s="5" t="inlineStr">
        <is>
          <t>Electronics</t>
        </is>
      </c>
      <c r="E61" s="5" t="inlineStr">
        <is>
          <t>Laptop</t>
        </is>
      </c>
      <c r="F61" s="5" t="n">
        <v>3</v>
      </c>
      <c r="G61" s="12" t="n">
        <v>55000</v>
      </c>
      <c r="H61" s="12">
        <f>F61*G61</f>
        <v/>
      </c>
    </row>
    <row r="62">
      <c r="A62" s="5" t="inlineStr">
        <is>
          <t>ORD1059</t>
        </is>
      </c>
      <c r="B62" s="22" t="n">
        <v>46025</v>
      </c>
      <c r="C62" s="5" t="inlineStr">
        <is>
          <t>North</t>
        </is>
      </c>
      <c r="D62" s="5" t="inlineStr">
        <is>
          <t>Electronics</t>
        </is>
      </c>
      <c r="E62" s="5" t="inlineStr">
        <is>
          <t>Laptop</t>
        </is>
      </c>
      <c r="F62" s="5" t="n">
        <v>4</v>
      </c>
      <c r="G62" s="12" t="n">
        <v>55000</v>
      </c>
      <c r="H62" s="12">
        <f>F62*G62</f>
        <v/>
      </c>
    </row>
    <row r="63">
      <c r="A63" s="5" t="inlineStr">
        <is>
          <t>ORD1060</t>
        </is>
      </c>
      <c r="B63" s="22" t="n">
        <v>46152</v>
      </c>
      <c r="C63" s="5" t="inlineStr">
        <is>
          <t>South</t>
        </is>
      </c>
      <c r="D63" s="5" t="inlineStr">
        <is>
          <t>Electronics</t>
        </is>
      </c>
      <c r="E63" s="5" t="inlineStr">
        <is>
          <t>Laptop</t>
        </is>
      </c>
      <c r="F63" s="5" t="n">
        <v>3</v>
      </c>
      <c r="G63" s="12" t="n">
        <v>55000</v>
      </c>
      <c r="H63" s="12">
        <f>F63*G63</f>
        <v/>
      </c>
    </row>
  </sheetData>
  <autoFilter ref="A3:H63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Task 9 - Pivot-style Summary: Revenue by Region x Category</t>
        </is>
      </c>
    </row>
    <row r="2">
      <c r="A2" s="2" t="inlineStr">
        <is>
          <t>Rows = Region, Columns = Category, Values = Sum of Revenue (SUMIFS on Task9_SalesData). Built with formulas so it updates automatically.</t>
        </is>
      </c>
    </row>
    <row r="4" ht="24" customHeight="1">
      <c r="A4" s="3" t="inlineStr">
        <is>
          <t>Region</t>
        </is>
      </c>
      <c r="B4" s="3" t="inlineStr">
        <is>
          <t>Accessories</t>
        </is>
      </c>
      <c r="C4" s="3" t="inlineStr">
        <is>
          <t>Electronics</t>
        </is>
      </c>
      <c r="D4" s="3" t="inlineStr">
        <is>
          <t>Furniture</t>
        </is>
      </c>
      <c r="E4" s="3" t="inlineStr">
        <is>
          <t>Grand Total</t>
        </is>
      </c>
    </row>
    <row r="5">
      <c r="A5" s="17" t="inlineStr">
        <is>
          <t>North</t>
        </is>
      </c>
      <c r="B5" s="12">
        <f>SUMIFS(Task9_SalesData!$H$4:$H$63,Task9_SalesData!$C$4:$C$63,$A5,Task9_SalesData!$D$4:$D$63,B$4)</f>
        <v/>
      </c>
      <c r="C5" s="12">
        <f>SUMIFS(Task9_SalesData!$H$4:$H$63,Task9_SalesData!$C$4:$C$63,$A5,Task9_SalesData!$D$4:$D$63,C$4)</f>
        <v/>
      </c>
      <c r="D5" s="12">
        <f>SUMIFS(Task9_SalesData!$H$4:$H$63,Task9_SalesData!$C$4:$C$63,$A5,Task9_SalesData!$D$4:$D$63,D$4)</f>
        <v/>
      </c>
      <c r="E5" s="18">
        <f>SUM(B5:D5)</f>
        <v/>
      </c>
    </row>
    <row r="6">
      <c r="A6" s="17" t="inlineStr">
        <is>
          <t>South</t>
        </is>
      </c>
      <c r="B6" s="12">
        <f>SUMIFS(Task9_SalesData!$H$4:$H$63,Task9_SalesData!$C$4:$C$63,$A6,Task9_SalesData!$D$4:$D$63,B$4)</f>
        <v/>
      </c>
      <c r="C6" s="12">
        <f>SUMIFS(Task9_SalesData!$H$4:$H$63,Task9_SalesData!$C$4:$C$63,$A6,Task9_SalesData!$D$4:$D$63,C$4)</f>
        <v/>
      </c>
      <c r="D6" s="12">
        <f>SUMIFS(Task9_SalesData!$H$4:$H$63,Task9_SalesData!$C$4:$C$63,$A6,Task9_SalesData!$D$4:$D$63,D$4)</f>
        <v/>
      </c>
      <c r="E6" s="18">
        <f>SUM(B6:D6)</f>
        <v/>
      </c>
    </row>
    <row r="7">
      <c r="A7" s="17" t="inlineStr">
        <is>
          <t>East</t>
        </is>
      </c>
      <c r="B7" s="12">
        <f>SUMIFS(Task9_SalesData!$H$4:$H$63,Task9_SalesData!$C$4:$C$63,$A7,Task9_SalesData!$D$4:$D$63,B$4)</f>
        <v/>
      </c>
      <c r="C7" s="12">
        <f>SUMIFS(Task9_SalesData!$H$4:$H$63,Task9_SalesData!$C$4:$C$63,$A7,Task9_SalesData!$D$4:$D$63,C$4)</f>
        <v/>
      </c>
      <c r="D7" s="12">
        <f>SUMIFS(Task9_SalesData!$H$4:$H$63,Task9_SalesData!$C$4:$C$63,$A7,Task9_SalesData!$D$4:$D$63,D$4)</f>
        <v/>
      </c>
      <c r="E7" s="18">
        <f>SUM(B7:D7)</f>
        <v/>
      </c>
    </row>
    <row r="8">
      <c r="A8" s="17" t="inlineStr">
        <is>
          <t>West</t>
        </is>
      </c>
      <c r="B8" s="12">
        <f>SUMIFS(Task9_SalesData!$H$4:$H$63,Task9_SalesData!$C$4:$C$63,$A8,Task9_SalesData!$D$4:$D$63,B$4)</f>
        <v/>
      </c>
      <c r="C8" s="12">
        <f>SUMIFS(Task9_SalesData!$H$4:$H$63,Task9_SalesData!$C$4:$C$63,$A8,Task9_SalesData!$D$4:$D$63,C$4)</f>
        <v/>
      </c>
      <c r="D8" s="12">
        <f>SUMIFS(Task9_SalesData!$H$4:$H$63,Task9_SalesData!$C$4:$C$63,$A8,Task9_SalesData!$D$4:$D$63,D$4)</f>
        <v/>
      </c>
      <c r="E8" s="18">
        <f>SUM(B8:D8)</f>
        <v/>
      </c>
    </row>
    <row r="9">
      <c r="A9" s="23" t="inlineStr">
        <is>
          <t>Grand Total</t>
        </is>
      </c>
      <c r="B9" s="24">
        <f>SUM(B5:B8)</f>
        <v/>
      </c>
      <c r="C9" s="24">
        <f>SUM(C5:C8)</f>
        <v/>
      </c>
      <c r="D9" s="24">
        <f>SUM(D5:D8)</f>
        <v/>
      </c>
      <c r="E9" s="24">
        <f>SUM(E5:E8)</f>
        <v/>
      </c>
    </row>
    <row r="11">
      <c r="A11" s="2" t="inlineStr">
        <is>
          <t>Check: pivot total = data total</t>
        </is>
      </c>
      <c r="E11" s="13">
        <f>IF(E9=SUM(Task9_SalesData!H4:H63),"OK","MISMATCH")</f>
        <v/>
      </c>
    </row>
    <row r="13" ht="24" customHeight="1">
      <c r="A13" s="3" t="inlineStr">
        <is>
          <t>Product</t>
        </is>
      </c>
      <c r="B13" s="3" t="inlineStr">
        <is>
          <t>Units Sold</t>
        </is>
      </c>
      <c r="C13" s="3" t="inlineStr">
        <is>
          <t>Revenue</t>
        </is>
      </c>
      <c r="D13" s="3" t="inlineStr">
        <is>
          <t>% of Total</t>
        </is>
      </c>
    </row>
    <row r="14">
      <c r="A14" s="5" t="inlineStr">
        <is>
          <t>Laptop</t>
        </is>
      </c>
      <c r="B14" s="5">
        <f>SUMIFS(Task9_SalesData!$F$4:$F$63,Task9_SalesData!$E$4:$E$63,$A14)</f>
        <v/>
      </c>
      <c r="C14" s="12">
        <f>SUMIFS(Task9_SalesData!$H$4:$H$63,Task9_SalesData!$E$4:$E$63,$A14)</f>
        <v/>
      </c>
      <c r="D14" s="25">
        <f>C14/$E$9</f>
        <v/>
      </c>
    </row>
    <row r="15">
      <c r="A15" s="5" t="inlineStr">
        <is>
          <t>Smartphone</t>
        </is>
      </c>
      <c r="B15" s="5">
        <f>SUMIFS(Task9_SalesData!$F$4:$F$63,Task9_SalesData!$E$4:$E$63,$A15)</f>
        <v/>
      </c>
      <c r="C15" s="12">
        <f>SUMIFS(Task9_SalesData!$H$4:$H$63,Task9_SalesData!$E$4:$E$63,$A15)</f>
        <v/>
      </c>
      <c r="D15" s="25">
        <f>C15/$E$9</f>
        <v/>
      </c>
    </row>
    <row r="16">
      <c r="A16" s="5" t="inlineStr">
        <is>
          <t>Monitor</t>
        </is>
      </c>
      <c r="B16" s="5">
        <f>SUMIFS(Task9_SalesData!$F$4:$F$63,Task9_SalesData!$E$4:$E$63,$A16)</f>
        <v/>
      </c>
      <c r="C16" s="12">
        <f>SUMIFS(Task9_SalesData!$H$4:$H$63,Task9_SalesData!$E$4:$E$63,$A16)</f>
        <v/>
      </c>
      <c r="D16" s="25">
        <f>C16/$E$9</f>
        <v/>
      </c>
    </row>
    <row r="17">
      <c r="A17" s="5" t="inlineStr">
        <is>
          <t>Headphones</t>
        </is>
      </c>
      <c r="B17" s="5">
        <f>SUMIFS(Task9_SalesData!$F$4:$F$63,Task9_SalesData!$E$4:$E$63,$A17)</f>
        <v/>
      </c>
      <c r="C17" s="12">
        <f>SUMIFS(Task9_SalesData!$H$4:$H$63,Task9_SalesData!$E$4:$E$63,$A17)</f>
        <v/>
      </c>
      <c r="D17" s="25">
        <f>C17/$E$9</f>
        <v/>
      </c>
    </row>
    <row r="18">
      <c r="A18" s="5" t="inlineStr">
        <is>
          <t>Keyboard</t>
        </is>
      </c>
      <c r="B18" s="5">
        <f>SUMIFS(Task9_SalesData!$F$4:$F$63,Task9_SalesData!$E$4:$E$63,$A18)</f>
        <v/>
      </c>
      <c r="C18" s="12">
        <f>SUMIFS(Task9_SalesData!$H$4:$H$63,Task9_SalesData!$E$4:$E$63,$A18)</f>
        <v/>
      </c>
      <c r="D18" s="25">
        <f>C18/$E$9</f>
        <v/>
      </c>
    </row>
    <row r="19">
      <c r="A19" s="5" t="inlineStr">
        <is>
          <t>Mouse</t>
        </is>
      </c>
      <c r="B19" s="5">
        <f>SUMIFS(Task9_SalesData!$F$4:$F$63,Task9_SalesData!$E$4:$E$63,$A19)</f>
        <v/>
      </c>
      <c r="C19" s="12">
        <f>SUMIFS(Task9_SalesData!$H$4:$H$63,Task9_SalesData!$E$4:$E$63,$A19)</f>
        <v/>
      </c>
      <c r="D19" s="25">
        <f>C19/$E$9</f>
        <v/>
      </c>
    </row>
    <row r="20">
      <c r="A20" s="5" t="inlineStr">
        <is>
          <t>Office Chair</t>
        </is>
      </c>
      <c r="B20" s="5">
        <f>SUMIFS(Task9_SalesData!$F$4:$F$63,Task9_SalesData!$E$4:$E$63,$A20)</f>
        <v/>
      </c>
      <c r="C20" s="12">
        <f>SUMIFS(Task9_SalesData!$H$4:$H$63,Task9_SalesData!$E$4:$E$63,$A20)</f>
        <v/>
      </c>
      <c r="D20" s="25">
        <f>C20/$E$9</f>
        <v/>
      </c>
    </row>
    <row r="21">
      <c r="A21" s="5" t="inlineStr">
        <is>
          <t>Desk</t>
        </is>
      </c>
      <c r="B21" s="5">
        <f>SUMIFS(Task9_SalesData!$F$4:$F$63,Task9_SalesData!$E$4:$E$63,$A21)</f>
        <v/>
      </c>
      <c r="C21" s="12">
        <f>SUMIFS(Task9_SalesData!$H$4:$H$63,Task9_SalesData!$E$4:$E$63,$A21)</f>
        <v/>
      </c>
      <c r="D21" s="25">
        <f>C21/$E$9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2026-09-28T01:30:27Z</dcterms:created>
  <dcterms:modified xmlns:dcterms="http://purl.org/dc/terms/" xmlns:xsi="http://www.w3.org/2001/XMLSchema-instance" xsi:type="dcterms:W3CDTF">2026-09-28T01:30:27Z</dcterms:modified>
</cp:coreProperties>
</file>